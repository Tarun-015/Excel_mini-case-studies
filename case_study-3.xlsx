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arun\Downloads\"/>
    </mc:Choice>
  </mc:AlternateContent>
  <xr:revisionPtr revIDLastSave="0" documentId="13_ncr:1_{B471CF10-D645-42EE-A9DE-8FCB47B7146C}" xr6:coauthVersionLast="47" xr6:coauthVersionMax="47" xr10:uidLastSave="{00000000-0000-0000-0000-000000000000}"/>
  <bookViews>
    <workbookView xWindow="-110" yWindow="-110" windowWidth="19420" windowHeight="10300" firstSheet="2" activeTab="8" xr2:uid="{00000000-000D-0000-FFFF-FFFF00000000}"/>
  </bookViews>
  <sheets>
    <sheet name="Sheet2" sheetId="8" r:id="rId1"/>
    <sheet name="Sheet3" sheetId="9" r:id="rId2"/>
    <sheet name="Sheet4" sheetId="10" r:id="rId3"/>
    <sheet name="Sheet5" sheetId="11" r:id="rId4"/>
    <sheet name="Data" sheetId="1" r:id="rId5"/>
    <sheet name="Cost" sheetId="2" r:id="rId6"/>
    <sheet name="Shift_Running" sheetId="3" r:id="rId7"/>
    <sheet name="Actual_Output" sheetId="4" r:id="rId8"/>
    <sheet name="Scrap" sheetId="5" r:id="rId9"/>
  </sheets>
  <definedNames>
    <definedName name="_xlnm._FilterDatabase" localSheetId="4" hidden="1">Data!$A$1:$H$175</definedName>
  </definedNames>
  <calcPr calcId="191029"/>
  <pivotCaches>
    <pivotCache cacheId="8" r:id="rId10"/>
    <pivotCache cacheId="12" r:id="rId11"/>
    <pivotCache cacheId="16" r:id="rId12"/>
    <pivotCache cacheId="21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5" l="1"/>
  <c r="E16" i="4"/>
  <c r="E3" i="5"/>
  <c r="E4" i="5"/>
  <c r="E5" i="5"/>
  <c r="E6" i="5"/>
  <c r="E7" i="5"/>
  <c r="E8" i="5"/>
  <c r="E9" i="5"/>
  <c r="E10" i="5"/>
  <c r="E11" i="5"/>
  <c r="E12" i="5"/>
  <c r="E13" i="5"/>
  <c r="E14" i="5"/>
  <c r="E15" i="5"/>
  <c r="E2" i="5"/>
  <c r="E3" i="4"/>
  <c r="E4" i="4"/>
  <c r="E5" i="4"/>
  <c r="E6" i="4"/>
  <c r="E7" i="4"/>
  <c r="E8" i="4"/>
  <c r="E9" i="4"/>
  <c r="E10" i="4"/>
  <c r="E11" i="4"/>
  <c r="E12" i="4"/>
  <c r="E13" i="4"/>
  <c r="E14" i="4"/>
  <c r="E15" i="4"/>
  <c r="E2" i="4"/>
  <c r="K11" i="11"/>
  <c r="K6" i="11"/>
  <c r="K7" i="11"/>
  <c r="K8" i="11"/>
  <c r="K9" i="11"/>
  <c r="K10" i="11"/>
  <c r="K5" i="1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2" i="1"/>
  <c r="B15" i="10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K40" i="1" s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2" i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" i="2"/>
  <c r="P12" i="1"/>
  <c r="P11" i="1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</calcChain>
</file>

<file path=xl/sharedStrings.xml><?xml version="1.0" encoding="utf-8"?>
<sst xmlns="http://schemas.openxmlformats.org/spreadsheetml/2006/main" count="1044" uniqueCount="86">
  <si>
    <t>Gear Assembly</t>
  </si>
  <si>
    <t>GA Category</t>
  </si>
  <si>
    <t>Month</t>
  </si>
  <si>
    <t>Quarter</t>
  </si>
  <si>
    <t>Fiscal Year</t>
  </si>
  <si>
    <t>Quantity Produced</t>
  </si>
  <si>
    <t>Sales Quantity</t>
  </si>
  <si>
    <t>Price</t>
  </si>
  <si>
    <t>Gear Assembly 1 (BS4)</t>
  </si>
  <si>
    <t>BS4 Only</t>
  </si>
  <si>
    <t>April</t>
  </si>
  <si>
    <t>Q1</t>
  </si>
  <si>
    <t>2019-20</t>
  </si>
  <si>
    <t>May</t>
  </si>
  <si>
    <t>June</t>
  </si>
  <si>
    <t>July</t>
  </si>
  <si>
    <t>Q2</t>
  </si>
  <si>
    <t>August</t>
  </si>
  <si>
    <t>September</t>
  </si>
  <si>
    <t>October</t>
  </si>
  <si>
    <t>Q3</t>
  </si>
  <si>
    <t>November</t>
  </si>
  <si>
    <t>December</t>
  </si>
  <si>
    <t>January</t>
  </si>
  <si>
    <t>Q4</t>
  </si>
  <si>
    <t>February</t>
  </si>
  <si>
    <t>March</t>
  </si>
  <si>
    <t>2020-21</t>
  </si>
  <si>
    <t>2021-22</t>
  </si>
  <si>
    <t>Gear Assembly 2 (BS4)</t>
  </si>
  <si>
    <t>Gear Assembly 3 (BS4/6)</t>
  </si>
  <si>
    <t>Combination</t>
  </si>
  <si>
    <t>Gear Assembly 4 (BS4/6)</t>
  </si>
  <si>
    <t>Gear Assembly 5 (BS6)</t>
  </si>
  <si>
    <t>BS6 Only</t>
  </si>
  <si>
    <t>Gear Assembly 6 (BS6)</t>
  </si>
  <si>
    <t>SALES DETAILS (GEAR ASSEMBLIES)</t>
  </si>
  <si>
    <t>FY</t>
  </si>
  <si>
    <t>CC</t>
  </si>
  <si>
    <t>Direct Materials</t>
  </si>
  <si>
    <t>Direct Labour</t>
  </si>
  <si>
    <t>Production Overhead</t>
  </si>
  <si>
    <t>G&amp;A Overhead</t>
  </si>
  <si>
    <t>Finance Costs</t>
  </si>
  <si>
    <t>Date</t>
  </si>
  <si>
    <t>Shift 1 (8 Hours)</t>
  </si>
  <si>
    <t>Shift 2 (8 Hours)</t>
  </si>
  <si>
    <t>Shift 3 (8 Hours)</t>
  </si>
  <si>
    <t>Operational</t>
  </si>
  <si>
    <t>Breakdown</t>
  </si>
  <si>
    <t>Planned Maintenance</t>
  </si>
  <si>
    <t>Unplanned Maintenance</t>
  </si>
  <si>
    <t>Power Cut</t>
  </si>
  <si>
    <t>Shift 1</t>
  </si>
  <si>
    <t>Shift 2</t>
  </si>
  <si>
    <t>Shift 3</t>
  </si>
  <si>
    <t>q1 -&gt;</t>
  </si>
  <si>
    <t>unit margin</t>
  </si>
  <si>
    <t>Row Labels</t>
  </si>
  <si>
    <t>Grand Total</t>
  </si>
  <si>
    <t>Column Labels</t>
  </si>
  <si>
    <t>Sum of unit margin</t>
  </si>
  <si>
    <t>Unit Overall Product Cost</t>
  </si>
  <si>
    <t>unit overall cost</t>
  </si>
  <si>
    <t>% unit margin</t>
  </si>
  <si>
    <t>Average of % unit margin</t>
  </si>
  <si>
    <t>Quarter+year</t>
  </si>
  <si>
    <t>Ending Inventory</t>
  </si>
  <si>
    <t>Q12019-20</t>
  </si>
  <si>
    <t>Q12020-21</t>
  </si>
  <si>
    <t>Q12021-22</t>
  </si>
  <si>
    <t>Q22019-20</t>
  </si>
  <si>
    <t>Q22020-21</t>
  </si>
  <si>
    <t>Q22021-22</t>
  </si>
  <si>
    <t>Q32019-20</t>
  </si>
  <si>
    <t>Q32020-21</t>
  </si>
  <si>
    <t>Q42019-20</t>
  </si>
  <si>
    <t>Q42020-21</t>
  </si>
  <si>
    <t>Sum of Ending Inventory</t>
  </si>
  <si>
    <t>Revenue</t>
  </si>
  <si>
    <t>Sum of Revenue</t>
  </si>
  <si>
    <t>comparsion</t>
  </si>
  <si>
    <t>max-&gt;</t>
  </si>
  <si>
    <t>total_prod</t>
  </si>
  <si>
    <t>scrap_total</t>
  </si>
  <si>
    <t>sum 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</si>
</sst>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2" borderId="1" xfId="0" applyFont="1" applyFill="1" applyBorder="1"/>
    <xf numFmtId="0" fontId="0" fillId="0" borderId="0" xfId="0" applyNumberFormat="1"/>
    <xf numFmtId="0" fontId="1" fillId="2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run chaudhary" refreshedDate="45980.620259490737" createdVersion="8" refreshedVersion="8" minRefreshableVersion="3" recordCount="174" xr:uid="{D3095216-92D8-4ECD-A6C0-2253171BBA5D}">
  <cacheSource type="worksheet">
    <worksheetSource ref="A1:J175" sheet="Data"/>
  </cacheSource>
  <cacheFields count="10">
    <cacheField name="Gear Assembly" numFmtId="0">
      <sharedItems count="6">
        <s v="Gear Assembly 1 (BS4)"/>
        <s v="Gear Assembly 2 (BS4)"/>
        <s v="Gear Assembly 3 (BS4/6)"/>
        <s v="Gear Assembly 4 (BS4/6)"/>
        <s v="Gear Assembly 5 (BS6)"/>
        <s v="Gear Assembly 6 (BS6)"/>
      </sharedItems>
    </cacheField>
    <cacheField name="GA Category" numFmtId="0">
      <sharedItems/>
    </cacheField>
    <cacheField name="Month" numFmtId="0">
      <sharedItems/>
    </cacheField>
    <cacheField name="Quarter" numFmtId="0">
      <sharedItems/>
    </cacheField>
    <cacheField name="Fiscal Year" numFmtId="0">
      <sharedItems/>
    </cacheField>
    <cacheField name="Quantity Produced" numFmtId="0">
      <sharedItems containsSemiMixedTypes="0" containsString="0" containsNumber="1" containsInteger="1" minValue="5038" maxValue="6865"/>
    </cacheField>
    <cacheField name="Sales Quantity" numFmtId="0">
      <sharedItems containsSemiMixedTypes="0" containsString="0" containsNumber="1" containsInteger="1" minValue="4510" maxValue="6666"/>
    </cacheField>
    <cacheField name="Price" numFmtId="0">
      <sharedItems containsSemiMixedTypes="0" containsString="0" containsNumber="1" containsInteger="1" minValue="328" maxValue="570"/>
    </cacheField>
    <cacheField name="unit overall cost" numFmtId="0">
      <sharedItems containsSemiMixedTypes="0" containsString="0" containsNumber="1" containsInteger="1" minValue="332" maxValue="455"/>
    </cacheField>
    <cacheField name="unit margin" numFmtId="0">
      <sharedItems containsSemiMixedTypes="0" containsString="0" containsNumber="1" containsInteger="1" minValue="-121" maxValue="2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run chaudhary" refreshedDate="45980.624879050927" createdVersion="8" refreshedVersion="8" minRefreshableVersion="3" recordCount="174" xr:uid="{659D5D2E-87D8-4C41-9DC0-68F08EDE5508}">
  <cacheSource type="worksheet">
    <worksheetSource ref="A1:K175" sheet="Data"/>
  </cacheSource>
  <cacheFields count="11">
    <cacheField name="Gear Assembly" numFmtId="0">
      <sharedItems count="6">
        <s v="Gear Assembly 1 (BS4)"/>
        <s v="Gear Assembly 2 (BS4)"/>
        <s v="Gear Assembly 3 (BS4/6)"/>
        <s v="Gear Assembly 4 (BS4/6)"/>
        <s v="Gear Assembly 5 (BS6)"/>
        <s v="Gear Assembly 6 (BS6)"/>
      </sharedItems>
    </cacheField>
    <cacheField name="GA Category" numFmtId="0">
      <sharedItems/>
    </cacheField>
    <cacheField name="Month" numFmtId="0">
      <sharedItems/>
    </cacheField>
    <cacheField name="Quarter" numFmtId="0">
      <sharedItems/>
    </cacheField>
    <cacheField name="Fiscal Year" numFmtId="0">
      <sharedItems/>
    </cacheField>
    <cacheField name="Quantity Produced" numFmtId="0">
      <sharedItems containsSemiMixedTypes="0" containsString="0" containsNumber="1" containsInteger="1" minValue="5038" maxValue="6865"/>
    </cacheField>
    <cacheField name="Sales Quantity" numFmtId="0">
      <sharedItems containsSemiMixedTypes="0" containsString="0" containsNumber="1" containsInteger="1" minValue="4510" maxValue="6666"/>
    </cacheField>
    <cacheField name="Price" numFmtId="0">
      <sharedItems containsSemiMixedTypes="0" containsString="0" containsNumber="1" containsInteger="1" minValue="328" maxValue="570"/>
    </cacheField>
    <cacheField name="unit overall cost" numFmtId="0">
      <sharedItems containsSemiMixedTypes="0" containsString="0" containsNumber="1" containsInteger="1" minValue="332" maxValue="455"/>
    </cacheField>
    <cacheField name="unit margin" numFmtId="0">
      <sharedItems containsSemiMixedTypes="0" containsString="0" containsNumber="1" containsInteger="1" minValue="-121" maxValue="228"/>
    </cacheField>
    <cacheField name="% unit margin" numFmtId="0">
      <sharedItems containsSemiMixedTypes="0" containsString="0" containsNumber="1" minValue="-26.593406593406595" maxValue="68.26347305389222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run chaudhary" refreshedDate="45980.629682638886" createdVersion="8" refreshedVersion="8" minRefreshableVersion="3" recordCount="174" xr:uid="{7363388E-D005-4701-849A-6F614884BF53}">
  <cacheSource type="worksheet">
    <worksheetSource ref="A1:M175" sheet="Data"/>
  </cacheSource>
  <cacheFields count="13">
    <cacheField name="Gear Assembly" numFmtId="0">
      <sharedItems/>
    </cacheField>
    <cacheField name="GA Category" numFmtId="0">
      <sharedItems/>
    </cacheField>
    <cacheField name="Month" numFmtId="0">
      <sharedItems/>
    </cacheField>
    <cacheField name="Quarter" numFmtId="0">
      <sharedItems/>
    </cacheField>
    <cacheField name="Fiscal Year" numFmtId="0">
      <sharedItems/>
    </cacheField>
    <cacheField name="Quantity Produced" numFmtId="0">
      <sharedItems containsSemiMixedTypes="0" containsString="0" containsNumber="1" containsInteger="1" minValue="5038" maxValue="6865"/>
    </cacheField>
    <cacheField name="Sales Quantity" numFmtId="0">
      <sharedItems containsSemiMixedTypes="0" containsString="0" containsNumber="1" containsInteger="1" minValue="4510" maxValue="6666"/>
    </cacheField>
    <cacheField name="Price" numFmtId="0">
      <sharedItems containsSemiMixedTypes="0" containsString="0" containsNumber="1" containsInteger="1" minValue="328" maxValue="570"/>
    </cacheField>
    <cacheField name="unit overall cost" numFmtId="0">
      <sharedItems containsSemiMixedTypes="0" containsString="0" containsNumber="1" containsInteger="1" minValue="332" maxValue="455"/>
    </cacheField>
    <cacheField name="unit margin" numFmtId="0">
      <sharedItems containsSemiMixedTypes="0" containsString="0" containsNumber="1" containsInteger="1" minValue="-121" maxValue="228"/>
    </cacheField>
    <cacheField name="% unit margin" numFmtId="0">
      <sharedItems containsSemiMixedTypes="0" containsString="0" containsNumber="1" minValue="-26.593406593406595" maxValue="68.263473053892227"/>
    </cacheField>
    <cacheField name="Quarter+year" numFmtId="0">
      <sharedItems count="10">
        <s v="Q12019-20"/>
        <s v="Q22019-20"/>
        <s v="Q32019-20"/>
        <s v="Q42019-20"/>
        <s v="Q12020-21"/>
        <s v="Q22020-21"/>
        <s v="Q32020-21"/>
        <s v="Q42020-21"/>
        <s v="Q12021-22"/>
        <s v="Q22021-22"/>
      </sharedItems>
    </cacheField>
    <cacheField name="Ending Inventory" numFmtId="0">
      <sharedItems containsSemiMixedTypes="0" containsString="0" containsNumber="1" containsInteger="1" minValue="-63" maxValue="10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run chaudhary" refreshedDate="45980.63192615741" createdVersion="8" refreshedVersion="8" minRefreshableVersion="3" recordCount="174" xr:uid="{A53D6B68-5364-4119-ADC0-BBD0F26BCF32}">
  <cacheSource type="worksheet">
    <worksheetSource ref="A1:N175" sheet="Data"/>
  </cacheSource>
  <cacheFields count="14">
    <cacheField name="Gear Assembly" numFmtId="0">
      <sharedItems count="6">
        <s v="Gear Assembly 1 (BS4)"/>
        <s v="Gear Assembly 2 (BS4)"/>
        <s v="Gear Assembly 3 (BS4/6)"/>
        <s v="Gear Assembly 4 (BS4/6)"/>
        <s v="Gear Assembly 5 (BS6)"/>
        <s v="Gear Assembly 6 (BS6)"/>
      </sharedItems>
    </cacheField>
    <cacheField name="GA Category" numFmtId="0">
      <sharedItems/>
    </cacheField>
    <cacheField name="Month" numFmtId="0">
      <sharedItems/>
    </cacheField>
    <cacheField name="Quarter" numFmtId="0">
      <sharedItems/>
    </cacheField>
    <cacheField name="Fiscal Year" numFmtId="0">
      <sharedItems count="3">
        <s v="2019-20"/>
        <s v="2020-21"/>
        <s v="2021-22"/>
      </sharedItems>
    </cacheField>
    <cacheField name="Quantity Produced" numFmtId="0">
      <sharedItems containsSemiMixedTypes="0" containsString="0" containsNumber="1" containsInteger="1" minValue="5038" maxValue="6865"/>
    </cacheField>
    <cacheField name="Sales Quantity" numFmtId="0">
      <sharedItems containsSemiMixedTypes="0" containsString="0" containsNumber="1" containsInteger="1" minValue="4510" maxValue="6666"/>
    </cacheField>
    <cacheField name="Price" numFmtId="0">
      <sharedItems containsSemiMixedTypes="0" containsString="0" containsNumber="1" containsInteger="1" minValue="328" maxValue="570"/>
    </cacheField>
    <cacheField name="unit overall cost" numFmtId="0">
      <sharedItems containsSemiMixedTypes="0" containsString="0" containsNumber="1" containsInteger="1" minValue="332" maxValue="455"/>
    </cacheField>
    <cacheField name="unit margin" numFmtId="0">
      <sharedItems containsSemiMixedTypes="0" containsString="0" containsNumber="1" containsInteger="1" minValue="-121" maxValue="228"/>
    </cacheField>
    <cacheField name="% unit margin" numFmtId="0">
      <sharedItems containsSemiMixedTypes="0" containsString="0" containsNumber="1" minValue="-26.593406593406595" maxValue="68.263473053892227"/>
    </cacheField>
    <cacheField name="Quarter+year" numFmtId="0">
      <sharedItems/>
    </cacheField>
    <cacheField name="Ending Inventory" numFmtId="0">
      <sharedItems containsSemiMixedTypes="0" containsString="0" containsNumber="1" containsInteger="1" minValue="-63" maxValue="1004"/>
    </cacheField>
    <cacheField name="Revenue" numFmtId="0">
      <sharedItems containsSemiMixedTypes="0" containsString="0" containsNumber="1" containsInteger="1" minValue="1600528" maxValue="35799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4">
  <r>
    <x v="0"/>
    <s v="BS4 Only"/>
    <s v="April"/>
    <s v="Q1"/>
    <s v="2019-20"/>
    <n v="6336"/>
    <n v="5600"/>
    <n v="432"/>
    <n v="400"/>
    <n v="32"/>
  </r>
  <r>
    <x v="0"/>
    <s v="BS4 Only"/>
    <s v="May"/>
    <s v="Q1"/>
    <s v="2019-20"/>
    <n v="5686"/>
    <n v="5523"/>
    <n v="433"/>
    <n v="400"/>
    <n v="33"/>
  </r>
  <r>
    <x v="0"/>
    <s v="BS4 Only"/>
    <s v="June"/>
    <s v="Q1"/>
    <s v="2019-20"/>
    <n v="6614"/>
    <n v="5726"/>
    <n v="498"/>
    <n v="400"/>
    <n v="98"/>
  </r>
  <r>
    <x v="0"/>
    <s v="BS4 Only"/>
    <s v="July"/>
    <s v="Q2"/>
    <s v="2019-20"/>
    <n v="5470"/>
    <n v="4916"/>
    <n v="539"/>
    <n v="400"/>
    <n v="139"/>
  </r>
  <r>
    <x v="0"/>
    <s v="BS4 Only"/>
    <s v="August"/>
    <s v="Q2"/>
    <s v="2019-20"/>
    <n v="6496"/>
    <n v="6089"/>
    <n v="463"/>
    <n v="400"/>
    <n v="63"/>
  </r>
  <r>
    <x v="0"/>
    <s v="BS4 Only"/>
    <s v="September"/>
    <s v="Q2"/>
    <s v="2019-20"/>
    <n v="5306"/>
    <n v="5032"/>
    <n v="463"/>
    <n v="400"/>
    <n v="63"/>
  </r>
  <r>
    <x v="0"/>
    <s v="BS4 Only"/>
    <s v="October"/>
    <s v="Q3"/>
    <s v="2019-20"/>
    <n v="5725"/>
    <n v="5478"/>
    <n v="328"/>
    <n v="400"/>
    <n v="-72"/>
  </r>
  <r>
    <x v="0"/>
    <s v="BS4 Only"/>
    <s v="November"/>
    <s v="Q3"/>
    <s v="2019-20"/>
    <n v="5717"/>
    <n v="5675"/>
    <n v="408"/>
    <n v="400"/>
    <n v="8"/>
  </r>
  <r>
    <x v="0"/>
    <s v="BS4 Only"/>
    <s v="December"/>
    <s v="Q3"/>
    <s v="2019-20"/>
    <n v="6043"/>
    <n v="5489"/>
    <n v="341"/>
    <n v="400"/>
    <n v="-59"/>
  </r>
  <r>
    <x v="0"/>
    <s v="BS4 Only"/>
    <s v="January"/>
    <s v="Q4"/>
    <s v="2019-20"/>
    <n v="6454"/>
    <n v="5869"/>
    <n v="527"/>
    <n v="400"/>
    <n v="127"/>
  </r>
  <r>
    <x v="0"/>
    <s v="BS4 Only"/>
    <s v="February"/>
    <s v="Q4"/>
    <s v="2019-20"/>
    <n v="6747"/>
    <n v="6019"/>
    <n v="448"/>
    <n v="400"/>
    <n v="48"/>
  </r>
  <r>
    <x v="0"/>
    <s v="BS4 Only"/>
    <s v="March"/>
    <s v="Q4"/>
    <s v="2019-20"/>
    <n v="6690"/>
    <n v="6225"/>
    <n v="404"/>
    <n v="400"/>
    <n v="4"/>
  </r>
  <r>
    <x v="0"/>
    <s v="BS4 Only"/>
    <s v="April"/>
    <s v="Q1"/>
    <s v="2020-21"/>
    <n v="5232"/>
    <n v="4858"/>
    <n v="492"/>
    <n v="400"/>
    <n v="92"/>
  </r>
  <r>
    <x v="0"/>
    <s v="BS4 Only"/>
    <s v="May"/>
    <s v="Q1"/>
    <s v="2020-21"/>
    <n v="6139"/>
    <n v="5419"/>
    <n v="461"/>
    <n v="400"/>
    <n v="61"/>
  </r>
  <r>
    <x v="0"/>
    <s v="BS4 Only"/>
    <s v="June"/>
    <s v="Q1"/>
    <s v="2020-21"/>
    <n v="5392"/>
    <n v="4768"/>
    <n v="562"/>
    <n v="400"/>
    <n v="162"/>
  </r>
  <r>
    <x v="0"/>
    <s v="BS4 Only"/>
    <s v="July"/>
    <s v="Q2"/>
    <s v="2020-21"/>
    <n v="6208"/>
    <n v="5868"/>
    <n v="367"/>
    <n v="400"/>
    <n v="-33"/>
  </r>
  <r>
    <x v="0"/>
    <s v="BS4 Only"/>
    <s v="August"/>
    <s v="Q2"/>
    <s v="2020-21"/>
    <n v="6567"/>
    <n v="5966"/>
    <n v="341"/>
    <n v="400"/>
    <n v="-59"/>
  </r>
  <r>
    <x v="0"/>
    <s v="BS4 Only"/>
    <s v="September"/>
    <s v="Q2"/>
    <s v="2020-21"/>
    <n v="6063"/>
    <n v="5849"/>
    <n v="525"/>
    <n v="400"/>
    <n v="125"/>
  </r>
  <r>
    <x v="0"/>
    <s v="BS4 Only"/>
    <s v="October"/>
    <s v="Q3"/>
    <s v="2020-21"/>
    <n v="6311"/>
    <n v="6254"/>
    <n v="419"/>
    <n v="400"/>
    <n v="19"/>
  </r>
  <r>
    <x v="0"/>
    <s v="BS4 Only"/>
    <s v="November"/>
    <s v="Q3"/>
    <s v="2020-21"/>
    <n v="5220"/>
    <n v="5082"/>
    <n v="524"/>
    <n v="400"/>
    <n v="124"/>
  </r>
  <r>
    <x v="0"/>
    <s v="BS4 Only"/>
    <s v="December"/>
    <s v="Q3"/>
    <s v="2020-21"/>
    <n v="5626"/>
    <n v="5190"/>
    <n v="461"/>
    <n v="400"/>
    <n v="61"/>
  </r>
  <r>
    <x v="0"/>
    <s v="BS4 Only"/>
    <s v="January"/>
    <s v="Q4"/>
    <s v="2020-21"/>
    <n v="5832"/>
    <n v="5270"/>
    <n v="381"/>
    <n v="400"/>
    <n v="-19"/>
  </r>
  <r>
    <x v="0"/>
    <s v="BS4 Only"/>
    <s v="February"/>
    <s v="Q4"/>
    <s v="2020-21"/>
    <n v="5592"/>
    <n v="5241"/>
    <n v="424"/>
    <n v="400"/>
    <n v="24"/>
  </r>
  <r>
    <x v="0"/>
    <s v="BS4 Only"/>
    <s v="March"/>
    <s v="Q4"/>
    <s v="2020-21"/>
    <n v="5737"/>
    <n v="5268"/>
    <n v="378"/>
    <n v="400"/>
    <n v="-22"/>
  </r>
  <r>
    <x v="0"/>
    <s v="BS4 Only"/>
    <s v="April"/>
    <s v="Q1"/>
    <s v="2021-22"/>
    <n v="5465"/>
    <n v="4825"/>
    <n v="556"/>
    <n v="400"/>
    <n v="156"/>
  </r>
  <r>
    <x v="0"/>
    <s v="BS4 Only"/>
    <s v="May"/>
    <s v="Q1"/>
    <s v="2021-22"/>
    <n v="5689"/>
    <n v="5340"/>
    <n v="433"/>
    <n v="400"/>
    <n v="33"/>
  </r>
  <r>
    <x v="0"/>
    <s v="BS4 Only"/>
    <s v="June"/>
    <s v="Q1"/>
    <s v="2021-22"/>
    <n v="5752"/>
    <n v="5197"/>
    <n v="530"/>
    <n v="400"/>
    <n v="130"/>
  </r>
  <r>
    <x v="0"/>
    <s v="BS4 Only"/>
    <s v="July"/>
    <s v="Q2"/>
    <s v="2021-22"/>
    <n v="6668"/>
    <n v="6061"/>
    <n v="452"/>
    <n v="400"/>
    <n v="52"/>
  </r>
  <r>
    <x v="0"/>
    <s v="BS4 Only"/>
    <s v="August"/>
    <s v="Q2"/>
    <s v="2021-22"/>
    <n v="5889"/>
    <n v="5316"/>
    <n v="452"/>
    <n v="400"/>
    <n v="52"/>
  </r>
  <r>
    <x v="1"/>
    <s v="BS4 Only"/>
    <s v="April"/>
    <s v="Q1"/>
    <s v="2019-20"/>
    <n v="6348"/>
    <n v="6003"/>
    <n v="347"/>
    <n v="334"/>
    <n v="13"/>
  </r>
  <r>
    <x v="1"/>
    <s v="BS4 Only"/>
    <s v="May"/>
    <s v="Q1"/>
    <s v="2019-20"/>
    <n v="5972"/>
    <n v="5871"/>
    <n v="396"/>
    <n v="334"/>
    <n v="62"/>
  </r>
  <r>
    <x v="1"/>
    <s v="BS4 Only"/>
    <s v="June"/>
    <s v="Q1"/>
    <s v="2019-20"/>
    <n v="5866"/>
    <n v="5226"/>
    <n v="364"/>
    <n v="334"/>
    <n v="30"/>
  </r>
  <r>
    <x v="1"/>
    <s v="BS4 Only"/>
    <s v="July"/>
    <s v="Q2"/>
    <s v="2019-20"/>
    <n v="6385"/>
    <n v="5861"/>
    <n v="540"/>
    <n v="334"/>
    <n v="206"/>
  </r>
  <r>
    <x v="1"/>
    <s v="BS4 Only"/>
    <s v="August"/>
    <s v="Q2"/>
    <s v="2019-20"/>
    <n v="5165"/>
    <n v="4662"/>
    <n v="513"/>
    <n v="334"/>
    <n v="179"/>
  </r>
  <r>
    <x v="1"/>
    <s v="BS4 Only"/>
    <s v="September"/>
    <s v="Q2"/>
    <s v="2019-20"/>
    <n v="6820"/>
    <n v="6405"/>
    <n v="498"/>
    <n v="334"/>
    <n v="164"/>
  </r>
  <r>
    <x v="1"/>
    <s v="BS4 Only"/>
    <s v="October"/>
    <s v="Q3"/>
    <s v="2019-20"/>
    <n v="5827"/>
    <n v="5890"/>
    <n v="562"/>
    <n v="334"/>
    <n v="228"/>
  </r>
  <r>
    <x v="1"/>
    <s v="BS4 Only"/>
    <s v="November"/>
    <s v="Q3"/>
    <s v="2019-20"/>
    <n v="6533"/>
    <n v="5944"/>
    <n v="475"/>
    <n v="334"/>
    <n v="141"/>
  </r>
  <r>
    <x v="1"/>
    <s v="BS4 Only"/>
    <s v="December"/>
    <s v="Q3"/>
    <s v="2019-20"/>
    <n v="5685"/>
    <n v="5376"/>
    <n v="371"/>
    <n v="334"/>
    <n v="37"/>
  </r>
  <r>
    <x v="1"/>
    <s v="BS4 Only"/>
    <s v="January"/>
    <s v="Q4"/>
    <s v="2019-20"/>
    <n v="6781"/>
    <n v="6608"/>
    <n v="360"/>
    <n v="334"/>
    <n v="26"/>
  </r>
  <r>
    <x v="1"/>
    <s v="BS4 Only"/>
    <s v="February"/>
    <s v="Q4"/>
    <s v="2019-20"/>
    <n v="5535"/>
    <n v="5088"/>
    <n v="404"/>
    <n v="334"/>
    <n v="70"/>
  </r>
  <r>
    <x v="1"/>
    <s v="BS4 Only"/>
    <s v="March"/>
    <s v="Q4"/>
    <s v="2019-20"/>
    <n v="6222"/>
    <n v="5548"/>
    <n v="372"/>
    <n v="334"/>
    <n v="38"/>
  </r>
  <r>
    <x v="1"/>
    <s v="BS4 Only"/>
    <s v="April"/>
    <s v="Q1"/>
    <s v="2020-21"/>
    <n v="6713"/>
    <n v="6013"/>
    <n v="435"/>
    <n v="334"/>
    <n v="101"/>
  </r>
  <r>
    <x v="1"/>
    <s v="BS4 Only"/>
    <s v="May"/>
    <s v="Q1"/>
    <s v="2020-21"/>
    <n v="6675"/>
    <n v="6092"/>
    <n v="341"/>
    <n v="334"/>
    <n v="7"/>
  </r>
  <r>
    <x v="1"/>
    <s v="BS4 Only"/>
    <s v="June"/>
    <s v="Q1"/>
    <s v="2020-21"/>
    <n v="6186"/>
    <n v="5729"/>
    <n v="488"/>
    <n v="334"/>
    <n v="154"/>
  </r>
  <r>
    <x v="1"/>
    <s v="BS4 Only"/>
    <s v="July"/>
    <s v="Q2"/>
    <s v="2020-21"/>
    <n v="5038"/>
    <n v="4538"/>
    <n v="452"/>
    <n v="334"/>
    <n v="118"/>
  </r>
  <r>
    <x v="1"/>
    <s v="BS4 Only"/>
    <s v="August"/>
    <s v="Q2"/>
    <s v="2020-21"/>
    <n v="6074"/>
    <n v="5227"/>
    <n v="392"/>
    <n v="334"/>
    <n v="58"/>
  </r>
  <r>
    <x v="1"/>
    <s v="BS4 Only"/>
    <s v="September"/>
    <s v="Q2"/>
    <s v="2020-21"/>
    <n v="5891"/>
    <n v="5167"/>
    <n v="524"/>
    <n v="334"/>
    <n v="190"/>
  </r>
  <r>
    <x v="1"/>
    <s v="BS4 Only"/>
    <s v="October"/>
    <s v="Q3"/>
    <s v="2020-21"/>
    <n v="6725"/>
    <n v="6192"/>
    <n v="368"/>
    <n v="334"/>
    <n v="34"/>
  </r>
  <r>
    <x v="1"/>
    <s v="BS4 Only"/>
    <s v="November"/>
    <s v="Q3"/>
    <s v="2020-21"/>
    <n v="5779"/>
    <n v="4959"/>
    <n v="546"/>
    <n v="334"/>
    <n v="212"/>
  </r>
  <r>
    <x v="1"/>
    <s v="BS4 Only"/>
    <s v="December"/>
    <s v="Q3"/>
    <s v="2020-21"/>
    <n v="5853"/>
    <n v="5544"/>
    <n v="522"/>
    <n v="334"/>
    <n v="188"/>
  </r>
  <r>
    <x v="1"/>
    <s v="BS4 Only"/>
    <s v="January"/>
    <s v="Q4"/>
    <s v="2020-21"/>
    <n v="6007"/>
    <n v="5509"/>
    <n v="400"/>
    <n v="334"/>
    <n v="66"/>
  </r>
  <r>
    <x v="1"/>
    <s v="BS4 Only"/>
    <s v="February"/>
    <s v="Q4"/>
    <s v="2020-21"/>
    <n v="5907"/>
    <n v="5331"/>
    <n v="517"/>
    <n v="334"/>
    <n v="183"/>
  </r>
  <r>
    <x v="1"/>
    <s v="BS4 Only"/>
    <s v="March"/>
    <s v="Q4"/>
    <s v="2020-21"/>
    <n v="6745"/>
    <n v="6331"/>
    <n v="527"/>
    <n v="334"/>
    <n v="193"/>
  </r>
  <r>
    <x v="1"/>
    <s v="BS4 Only"/>
    <s v="April"/>
    <s v="Q1"/>
    <s v="2021-22"/>
    <n v="5724"/>
    <n v="5163"/>
    <n v="551"/>
    <n v="334"/>
    <n v="217"/>
  </r>
  <r>
    <x v="1"/>
    <s v="BS4 Only"/>
    <s v="May"/>
    <s v="Q1"/>
    <s v="2021-22"/>
    <n v="5661"/>
    <n v="5250"/>
    <n v="516"/>
    <n v="334"/>
    <n v="182"/>
  </r>
  <r>
    <x v="1"/>
    <s v="BS4 Only"/>
    <s v="June"/>
    <s v="Q1"/>
    <s v="2021-22"/>
    <n v="6470"/>
    <n v="5716"/>
    <n v="489"/>
    <n v="334"/>
    <n v="155"/>
  </r>
  <r>
    <x v="1"/>
    <s v="BS4 Only"/>
    <s v="July"/>
    <s v="Q2"/>
    <s v="2021-22"/>
    <n v="6069"/>
    <n v="5523"/>
    <n v="539"/>
    <n v="334"/>
    <n v="205"/>
  </r>
  <r>
    <x v="1"/>
    <s v="BS4 Only"/>
    <s v="August"/>
    <s v="Q2"/>
    <s v="2021-22"/>
    <n v="6166"/>
    <n v="5357"/>
    <n v="469"/>
    <n v="334"/>
    <n v="135"/>
  </r>
  <r>
    <x v="2"/>
    <s v="Combination"/>
    <s v="April"/>
    <s v="Q1"/>
    <s v="2019-20"/>
    <n v="6505"/>
    <n v="5858"/>
    <n v="364"/>
    <n v="455"/>
    <n v="-91"/>
  </r>
  <r>
    <x v="2"/>
    <s v="Combination"/>
    <s v="May"/>
    <s v="Q1"/>
    <s v="2019-20"/>
    <n v="5147"/>
    <n v="4816"/>
    <n v="357"/>
    <n v="455"/>
    <n v="-98"/>
  </r>
  <r>
    <x v="2"/>
    <s v="Combination"/>
    <s v="June"/>
    <s v="Q1"/>
    <s v="2019-20"/>
    <n v="5722"/>
    <n v="5059"/>
    <n v="386"/>
    <n v="455"/>
    <n v="-69"/>
  </r>
  <r>
    <x v="2"/>
    <s v="Combination"/>
    <s v="July"/>
    <s v="Q2"/>
    <s v="2019-20"/>
    <n v="6285"/>
    <n v="5601"/>
    <n v="493"/>
    <n v="455"/>
    <n v="38"/>
  </r>
  <r>
    <x v="2"/>
    <s v="Combination"/>
    <s v="August"/>
    <s v="Q2"/>
    <s v="2019-20"/>
    <n v="6087"/>
    <n v="5937"/>
    <n v="560"/>
    <n v="455"/>
    <n v="105"/>
  </r>
  <r>
    <x v="2"/>
    <s v="Combination"/>
    <s v="September"/>
    <s v="Q2"/>
    <s v="2019-20"/>
    <n v="5506"/>
    <n v="5222"/>
    <n v="498"/>
    <n v="455"/>
    <n v="43"/>
  </r>
  <r>
    <x v="2"/>
    <s v="Combination"/>
    <s v="October"/>
    <s v="Q3"/>
    <s v="2019-20"/>
    <n v="6341"/>
    <n v="5844"/>
    <n v="448"/>
    <n v="455"/>
    <n v="-7"/>
  </r>
  <r>
    <x v="2"/>
    <s v="Combination"/>
    <s v="November"/>
    <s v="Q3"/>
    <s v="2019-20"/>
    <n v="5442"/>
    <n v="5154"/>
    <n v="415"/>
    <n v="455"/>
    <n v="-40"/>
  </r>
  <r>
    <x v="2"/>
    <s v="Combination"/>
    <s v="December"/>
    <s v="Q3"/>
    <s v="2019-20"/>
    <n v="5472"/>
    <n v="4824"/>
    <n v="484"/>
    <n v="455"/>
    <n v="29"/>
  </r>
  <r>
    <x v="2"/>
    <s v="Combination"/>
    <s v="January"/>
    <s v="Q4"/>
    <s v="2019-20"/>
    <n v="5890"/>
    <n v="5165"/>
    <n v="372"/>
    <n v="455"/>
    <n v="-83"/>
  </r>
  <r>
    <x v="2"/>
    <s v="Combination"/>
    <s v="February"/>
    <s v="Q4"/>
    <s v="2019-20"/>
    <n v="5481"/>
    <n v="4792"/>
    <n v="334"/>
    <n v="455"/>
    <n v="-121"/>
  </r>
  <r>
    <x v="2"/>
    <s v="Combination"/>
    <s v="March"/>
    <s v="Q4"/>
    <s v="2019-20"/>
    <n v="5281"/>
    <n v="5338"/>
    <n v="338"/>
    <n v="455"/>
    <n v="-117"/>
  </r>
  <r>
    <x v="2"/>
    <s v="Combination"/>
    <s v="April"/>
    <s v="Q1"/>
    <s v="2020-21"/>
    <n v="5989"/>
    <n v="5773"/>
    <n v="461"/>
    <n v="455"/>
    <n v="6"/>
  </r>
  <r>
    <x v="2"/>
    <s v="Combination"/>
    <s v="May"/>
    <s v="Q1"/>
    <s v="2020-21"/>
    <n v="6232"/>
    <n v="5440"/>
    <n v="532"/>
    <n v="455"/>
    <n v="77"/>
  </r>
  <r>
    <x v="2"/>
    <s v="Combination"/>
    <s v="June"/>
    <s v="Q1"/>
    <s v="2020-21"/>
    <n v="6724"/>
    <n v="5949"/>
    <n v="454"/>
    <n v="455"/>
    <n v="-1"/>
  </r>
  <r>
    <x v="2"/>
    <s v="Combination"/>
    <s v="July"/>
    <s v="Q2"/>
    <s v="2020-21"/>
    <n v="6653"/>
    <n v="6167"/>
    <n v="545"/>
    <n v="455"/>
    <n v="90"/>
  </r>
  <r>
    <x v="2"/>
    <s v="Combination"/>
    <s v="August"/>
    <s v="Q2"/>
    <s v="2020-21"/>
    <n v="5410"/>
    <n v="5053"/>
    <n v="411"/>
    <n v="455"/>
    <n v="-44"/>
  </r>
  <r>
    <x v="2"/>
    <s v="Combination"/>
    <s v="September"/>
    <s v="Q2"/>
    <s v="2020-21"/>
    <n v="5322"/>
    <n v="4954"/>
    <n v="502"/>
    <n v="455"/>
    <n v="47"/>
  </r>
  <r>
    <x v="2"/>
    <s v="Combination"/>
    <s v="October"/>
    <s v="Q3"/>
    <s v="2020-21"/>
    <n v="6647"/>
    <n v="6408"/>
    <n v="431"/>
    <n v="455"/>
    <n v="-24"/>
  </r>
  <r>
    <x v="2"/>
    <s v="Combination"/>
    <s v="November"/>
    <s v="Q3"/>
    <s v="2020-21"/>
    <n v="5170"/>
    <n v="5123"/>
    <n v="540"/>
    <n v="455"/>
    <n v="85"/>
  </r>
  <r>
    <x v="2"/>
    <s v="Combination"/>
    <s v="December"/>
    <s v="Q3"/>
    <s v="2020-21"/>
    <n v="5227"/>
    <n v="4954"/>
    <n v="551"/>
    <n v="455"/>
    <n v="96"/>
  </r>
  <r>
    <x v="2"/>
    <s v="Combination"/>
    <s v="January"/>
    <s v="Q4"/>
    <s v="2020-21"/>
    <n v="5232"/>
    <n v="5141"/>
    <n v="513"/>
    <n v="455"/>
    <n v="58"/>
  </r>
  <r>
    <x v="2"/>
    <s v="Combination"/>
    <s v="February"/>
    <s v="Q4"/>
    <s v="2020-21"/>
    <n v="6726"/>
    <n v="6618"/>
    <n v="428"/>
    <n v="455"/>
    <n v="-27"/>
  </r>
  <r>
    <x v="2"/>
    <s v="Combination"/>
    <s v="March"/>
    <s v="Q4"/>
    <s v="2020-21"/>
    <n v="6450"/>
    <n v="5661"/>
    <n v="513"/>
    <n v="455"/>
    <n v="58"/>
  </r>
  <r>
    <x v="2"/>
    <s v="Combination"/>
    <s v="April"/>
    <s v="Q1"/>
    <s v="2021-22"/>
    <n v="6250"/>
    <n v="5622"/>
    <n v="531"/>
    <n v="455"/>
    <n v="76"/>
  </r>
  <r>
    <x v="2"/>
    <s v="Combination"/>
    <s v="May"/>
    <s v="Q1"/>
    <s v="2021-22"/>
    <n v="5075"/>
    <n v="4985"/>
    <n v="388"/>
    <n v="455"/>
    <n v="-67"/>
  </r>
  <r>
    <x v="2"/>
    <s v="Combination"/>
    <s v="June"/>
    <s v="Q1"/>
    <s v="2021-22"/>
    <n v="5267"/>
    <n v="4797"/>
    <n v="454"/>
    <n v="455"/>
    <n v="-1"/>
  </r>
  <r>
    <x v="2"/>
    <s v="Combination"/>
    <s v="July"/>
    <s v="Q2"/>
    <s v="2021-22"/>
    <n v="5673"/>
    <n v="5112"/>
    <n v="499"/>
    <n v="455"/>
    <n v="44"/>
  </r>
  <r>
    <x v="2"/>
    <s v="Combination"/>
    <s v="August"/>
    <s v="Q2"/>
    <s v="2021-22"/>
    <n v="6151"/>
    <n v="5820"/>
    <n v="423"/>
    <n v="455"/>
    <n v="-32"/>
  </r>
  <r>
    <x v="3"/>
    <s v="Combination"/>
    <s v="April"/>
    <s v="Q1"/>
    <s v="2019-20"/>
    <n v="5935"/>
    <n v="5353"/>
    <n v="424"/>
    <n v="379"/>
    <n v="45"/>
  </r>
  <r>
    <x v="3"/>
    <s v="Combination"/>
    <s v="May"/>
    <s v="Q1"/>
    <s v="2019-20"/>
    <n v="6126"/>
    <n v="5908"/>
    <n v="420"/>
    <n v="379"/>
    <n v="41"/>
  </r>
  <r>
    <x v="3"/>
    <s v="Combination"/>
    <s v="June"/>
    <s v="Q1"/>
    <s v="2019-20"/>
    <n v="5985"/>
    <n v="5392"/>
    <n v="419"/>
    <n v="379"/>
    <n v="40"/>
  </r>
  <r>
    <x v="3"/>
    <s v="Combination"/>
    <s v="July"/>
    <s v="Q2"/>
    <s v="2019-20"/>
    <n v="6015"/>
    <n v="5623"/>
    <n v="565"/>
    <n v="379"/>
    <n v="186"/>
  </r>
  <r>
    <x v="3"/>
    <s v="Combination"/>
    <s v="August"/>
    <s v="Q2"/>
    <s v="2019-20"/>
    <n v="5124"/>
    <n v="4615"/>
    <n v="452"/>
    <n v="379"/>
    <n v="73"/>
  </r>
  <r>
    <x v="3"/>
    <s v="Combination"/>
    <s v="September"/>
    <s v="Q2"/>
    <s v="2019-20"/>
    <n v="6528"/>
    <n v="6475"/>
    <n v="427"/>
    <n v="379"/>
    <n v="48"/>
  </r>
  <r>
    <x v="3"/>
    <s v="Combination"/>
    <s v="October"/>
    <s v="Q3"/>
    <s v="2019-20"/>
    <n v="6438"/>
    <n v="5922"/>
    <n v="448"/>
    <n v="379"/>
    <n v="69"/>
  </r>
  <r>
    <x v="3"/>
    <s v="Combination"/>
    <s v="November"/>
    <s v="Q3"/>
    <s v="2019-20"/>
    <n v="5551"/>
    <n v="5002"/>
    <n v="526"/>
    <n v="379"/>
    <n v="147"/>
  </r>
  <r>
    <x v="3"/>
    <s v="Combination"/>
    <s v="December"/>
    <s v="Q3"/>
    <s v="2019-20"/>
    <n v="5892"/>
    <n v="5214"/>
    <n v="386"/>
    <n v="379"/>
    <n v="7"/>
  </r>
  <r>
    <x v="3"/>
    <s v="Combination"/>
    <s v="January"/>
    <s v="Q4"/>
    <s v="2019-20"/>
    <n v="6661"/>
    <n v="6367"/>
    <n v="556"/>
    <n v="379"/>
    <n v="177"/>
  </r>
  <r>
    <x v="3"/>
    <s v="Combination"/>
    <s v="February"/>
    <s v="Q4"/>
    <s v="2019-20"/>
    <n v="6836"/>
    <n v="6174"/>
    <n v="503"/>
    <n v="379"/>
    <n v="124"/>
  </r>
  <r>
    <x v="3"/>
    <s v="Combination"/>
    <s v="March"/>
    <s v="Q4"/>
    <s v="2019-20"/>
    <n v="6023"/>
    <n v="5530"/>
    <n v="420"/>
    <n v="379"/>
    <n v="41"/>
  </r>
  <r>
    <x v="3"/>
    <s v="Combination"/>
    <s v="April"/>
    <s v="Q1"/>
    <s v="2020-21"/>
    <n v="5690"/>
    <n v="5543"/>
    <n v="378"/>
    <n v="379"/>
    <n v="-1"/>
  </r>
  <r>
    <x v="3"/>
    <s v="Combination"/>
    <s v="May"/>
    <s v="Q1"/>
    <s v="2020-21"/>
    <n v="6114"/>
    <n v="5797"/>
    <n v="435"/>
    <n v="379"/>
    <n v="56"/>
  </r>
  <r>
    <x v="3"/>
    <s v="Combination"/>
    <s v="June"/>
    <s v="Q1"/>
    <s v="2020-21"/>
    <n v="6704"/>
    <n v="6321"/>
    <n v="525"/>
    <n v="379"/>
    <n v="146"/>
  </r>
  <r>
    <x v="3"/>
    <s v="Combination"/>
    <s v="July"/>
    <s v="Q2"/>
    <s v="2020-21"/>
    <n v="6076"/>
    <n v="5585"/>
    <n v="499"/>
    <n v="379"/>
    <n v="120"/>
  </r>
  <r>
    <x v="3"/>
    <s v="Combination"/>
    <s v="August"/>
    <s v="Q2"/>
    <s v="2020-21"/>
    <n v="5670"/>
    <n v="4923"/>
    <n v="341"/>
    <n v="379"/>
    <n v="-38"/>
  </r>
  <r>
    <x v="3"/>
    <s v="Combination"/>
    <s v="September"/>
    <s v="Q2"/>
    <s v="2020-21"/>
    <n v="5942"/>
    <n v="5259"/>
    <n v="478"/>
    <n v="379"/>
    <n v="99"/>
  </r>
  <r>
    <x v="3"/>
    <s v="Combination"/>
    <s v="October"/>
    <s v="Q3"/>
    <s v="2020-21"/>
    <n v="5598"/>
    <n v="5348"/>
    <n v="448"/>
    <n v="379"/>
    <n v="69"/>
  </r>
  <r>
    <x v="3"/>
    <s v="Combination"/>
    <s v="November"/>
    <s v="Q3"/>
    <s v="2020-21"/>
    <n v="5417"/>
    <n v="4926"/>
    <n v="466"/>
    <n v="379"/>
    <n v="87"/>
  </r>
  <r>
    <x v="3"/>
    <s v="Combination"/>
    <s v="December"/>
    <s v="Q3"/>
    <s v="2020-21"/>
    <n v="5185"/>
    <n v="5006"/>
    <n v="488"/>
    <n v="379"/>
    <n v="109"/>
  </r>
  <r>
    <x v="3"/>
    <s v="Combination"/>
    <s v="January"/>
    <s v="Q4"/>
    <s v="2020-21"/>
    <n v="6444"/>
    <n v="5803"/>
    <n v="404"/>
    <n v="379"/>
    <n v="25"/>
  </r>
  <r>
    <x v="3"/>
    <s v="Combination"/>
    <s v="February"/>
    <s v="Q4"/>
    <s v="2020-21"/>
    <n v="5409"/>
    <n v="5111"/>
    <n v="535"/>
    <n v="379"/>
    <n v="156"/>
  </r>
  <r>
    <x v="3"/>
    <s v="Combination"/>
    <s v="March"/>
    <s v="Q4"/>
    <s v="2020-21"/>
    <n v="6539"/>
    <n v="6303"/>
    <n v="480"/>
    <n v="379"/>
    <n v="101"/>
  </r>
  <r>
    <x v="3"/>
    <s v="Combination"/>
    <s v="April"/>
    <s v="Q1"/>
    <s v="2021-22"/>
    <n v="5478"/>
    <n v="5223"/>
    <n v="513"/>
    <n v="379"/>
    <n v="134"/>
  </r>
  <r>
    <x v="3"/>
    <s v="Combination"/>
    <s v="May"/>
    <s v="Q1"/>
    <s v="2021-22"/>
    <n v="5292"/>
    <n v="5054"/>
    <n v="513"/>
    <n v="379"/>
    <n v="134"/>
  </r>
  <r>
    <x v="3"/>
    <s v="Combination"/>
    <s v="June"/>
    <s v="Q1"/>
    <s v="2021-22"/>
    <n v="5325"/>
    <n v="5119"/>
    <n v="502"/>
    <n v="379"/>
    <n v="123"/>
  </r>
  <r>
    <x v="3"/>
    <s v="Combination"/>
    <s v="July"/>
    <s v="Q2"/>
    <s v="2021-22"/>
    <n v="6496"/>
    <n v="5908"/>
    <n v="566"/>
    <n v="379"/>
    <n v="187"/>
  </r>
  <r>
    <x v="3"/>
    <s v="Combination"/>
    <s v="August"/>
    <s v="Q2"/>
    <s v="2021-22"/>
    <n v="5189"/>
    <n v="4807"/>
    <n v="408"/>
    <n v="379"/>
    <n v="29"/>
  </r>
  <r>
    <x v="4"/>
    <s v="BS6 Only"/>
    <s v="April"/>
    <s v="Q1"/>
    <s v="2019-20"/>
    <n v="5443"/>
    <n v="5101"/>
    <n v="361"/>
    <n v="332"/>
    <n v="29"/>
  </r>
  <r>
    <x v="4"/>
    <s v="BS6 Only"/>
    <s v="May"/>
    <s v="Q1"/>
    <s v="2019-20"/>
    <n v="6526"/>
    <n v="5886"/>
    <n v="508"/>
    <n v="332"/>
    <n v="176"/>
  </r>
  <r>
    <x v="4"/>
    <s v="BS6 Only"/>
    <s v="June"/>
    <s v="Q1"/>
    <s v="2019-20"/>
    <n v="6445"/>
    <n v="5482"/>
    <n v="367"/>
    <n v="332"/>
    <n v="35"/>
  </r>
  <r>
    <x v="4"/>
    <s v="BS6 Only"/>
    <s v="July"/>
    <s v="Q2"/>
    <s v="2019-20"/>
    <n v="5365"/>
    <n v="4683"/>
    <n v="428"/>
    <n v="332"/>
    <n v="96"/>
  </r>
  <r>
    <x v="4"/>
    <s v="BS6 Only"/>
    <s v="August"/>
    <s v="Q2"/>
    <s v="2019-20"/>
    <n v="5194"/>
    <n v="5012"/>
    <n v="497"/>
    <n v="332"/>
    <n v="165"/>
  </r>
  <r>
    <x v="4"/>
    <s v="BS6 Only"/>
    <s v="September"/>
    <s v="Q2"/>
    <s v="2019-20"/>
    <n v="5545"/>
    <n v="5016"/>
    <n v="524"/>
    <n v="332"/>
    <n v="192"/>
  </r>
  <r>
    <x v="4"/>
    <s v="BS6 Only"/>
    <s v="October"/>
    <s v="Q3"/>
    <s v="2019-20"/>
    <n v="5673"/>
    <n v="5525"/>
    <n v="360"/>
    <n v="332"/>
    <n v="28"/>
  </r>
  <r>
    <x v="4"/>
    <s v="BS6 Only"/>
    <s v="November"/>
    <s v="Q3"/>
    <s v="2019-20"/>
    <n v="5406"/>
    <n v="4973"/>
    <n v="471"/>
    <n v="332"/>
    <n v="139"/>
  </r>
  <r>
    <x v="4"/>
    <s v="BS6 Only"/>
    <s v="December"/>
    <s v="Q3"/>
    <s v="2019-20"/>
    <n v="5536"/>
    <n v="4710"/>
    <n v="555"/>
    <n v="332"/>
    <n v="223"/>
  </r>
  <r>
    <x v="4"/>
    <s v="BS6 Only"/>
    <s v="January"/>
    <s v="Q4"/>
    <s v="2019-20"/>
    <n v="6275"/>
    <n v="5448"/>
    <n v="379"/>
    <n v="332"/>
    <n v="47"/>
  </r>
  <r>
    <x v="4"/>
    <s v="BS6 Only"/>
    <s v="February"/>
    <s v="Q4"/>
    <s v="2019-20"/>
    <n v="5125"/>
    <n v="4781"/>
    <n v="412"/>
    <n v="332"/>
    <n v="80"/>
  </r>
  <r>
    <x v="4"/>
    <s v="BS6 Only"/>
    <s v="March"/>
    <s v="Q4"/>
    <s v="2019-20"/>
    <n v="5759"/>
    <n v="5769"/>
    <n v="450"/>
    <n v="332"/>
    <n v="118"/>
  </r>
  <r>
    <x v="4"/>
    <s v="BS6 Only"/>
    <s v="April"/>
    <s v="Q1"/>
    <s v="2020-21"/>
    <n v="5908"/>
    <n v="5234"/>
    <n v="424"/>
    <n v="332"/>
    <n v="92"/>
  </r>
  <r>
    <x v="4"/>
    <s v="BS6 Only"/>
    <s v="May"/>
    <s v="Q1"/>
    <s v="2020-21"/>
    <n v="5785"/>
    <n v="5110"/>
    <n v="444"/>
    <n v="332"/>
    <n v="112"/>
  </r>
  <r>
    <x v="4"/>
    <s v="BS6 Only"/>
    <s v="June"/>
    <s v="Q1"/>
    <s v="2020-21"/>
    <n v="6151"/>
    <n v="5852"/>
    <n v="489"/>
    <n v="332"/>
    <n v="157"/>
  </r>
  <r>
    <x v="4"/>
    <s v="BS6 Only"/>
    <s v="July"/>
    <s v="Q2"/>
    <s v="2020-21"/>
    <n v="6775"/>
    <n v="6348"/>
    <n v="388"/>
    <n v="332"/>
    <n v="56"/>
  </r>
  <r>
    <x v="4"/>
    <s v="BS6 Only"/>
    <s v="August"/>
    <s v="Q2"/>
    <s v="2020-21"/>
    <n v="5582"/>
    <n v="4706"/>
    <n v="521"/>
    <n v="332"/>
    <n v="189"/>
  </r>
  <r>
    <x v="4"/>
    <s v="BS6 Only"/>
    <s v="September"/>
    <s v="Q2"/>
    <s v="2020-21"/>
    <n v="5621"/>
    <n v="5183"/>
    <n v="408"/>
    <n v="332"/>
    <n v="76"/>
  </r>
  <r>
    <x v="4"/>
    <s v="BS6 Only"/>
    <s v="October"/>
    <s v="Q3"/>
    <s v="2020-21"/>
    <n v="6105"/>
    <n v="5457"/>
    <n v="453"/>
    <n v="332"/>
    <n v="121"/>
  </r>
  <r>
    <x v="4"/>
    <s v="BS6 Only"/>
    <s v="November"/>
    <s v="Q3"/>
    <s v="2020-21"/>
    <n v="6230"/>
    <n v="5792"/>
    <n v="378"/>
    <n v="332"/>
    <n v="46"/>
  </r>
  <r>
    <x v="4"/>
    <s v="BS6 Only"/>
    <s v="December"/>
    <s v="Q3"/>
    <s v="2020-21"/>
    <n v="6246"/>
    <n v="6030"/>
    <n v="457"/>
    <n v="332"/>
    <n v="125"/>
  </r>
  <r>
    <x v="4"/>
    <s v="BS6 Only"/>
    <s v="January"/>
    <s v="Q4"/>
    <s v="2020-21"/>
    <n v="5796"/>
    <n v="5540"/>
    <n v="499"/>
    <n v="332"/>
    <n v="167"/>
  </r>
  <r>
    <x v="4"/>
    <s v="BS6 Only"/>
    <s v="February"/>
    <s v="Q4"/>
    <s v="2020-21"/>
    <n v="5885"/>
    <n v="5418"/>
    <n v="480"/>
    <n v="332"/>
    <n v="148"/>
  </r>
  <r>
    <x v="4"/>
    <s v="BS6 Only"/>
    <s v="March"/>
    <s v="Q4"/>
    <s v="2020-21"/>
    <n v="5970"/>
    <n v="5229"/>
    <n v="492"/>
    <n v="332"/>
    <n v="160"/>
  </r>
  <r>
    <x v="4"/>
    <s v="BS6 Only"/>
    <s v="April"/>
    <s v="Q1"/>
    <s v="2021-22"/>
    <n v="5601"/>
    <n v="5092"/>
    <n v="494"/>
    <n v="332"/>
    <n v="162"/>
  </r>
  <r>
    <x v="4"/>
    <s v="BS6 Only"/>
    <s v="May"/>
    <s v="Q1"/>
    <s v="2021-22"/>
    <n v="5276"/>
    <n v="5000"/>
    <n v="367"/>
    <n v="332"/>
    <n v="35"/>
  </r>
  <r>
    <x v="4"/>
    <s v="BS6 Only"/>
    <s v="June"/>
    <s v="Q1"/>
    <s v="2021-22"/>
    <n v="6069"/>
    <n v="5864"/>
    <n v="408"/>
    <n v="332"/>
    <n v="76"/>
  </r>
  <r>
    <x v="4"/>
    <s v="BS6 Only"/>
    <s v="July"/>
    <s v="Q2"/>
    <s v="2021-22"/>
    <n v="6231"/>
    <n v="5410"/>
    <n v="454"/>
    <n v="332"/>
    <n v="122"/>
  </r>
  <r>
    <x v="4"/>
    <s v="BS6 Only"/>
    <s v="August"/>
    <s v="Q2"/>
    <s v="2021-22"/>
    <n v="5585"/>
    <n v="5132"/>
    <n v="393"/>
    <n v="332"/>
    <n v="61"/>
  </r>
  <r>
    <x v="5"/>
    <s v="BS6 Only"/>
    <s v="April"/>
    <s v="Q1"/>
    <s v="2019-20"/>
    <n v="6364"/>
    <n v="6015"/>
    <n v="353"/>
    <n v="428"/>
    <n v="-75"/>
  </r>
  <r>
    <x v="5"/>
    <s v="BS6 Only"/>
    <s v="May"/>
    <s v="Q1"/>
    <s v="2019-20"/>
    <n v="5201"/>
    <n v="5067"/>
    <n v="479"/>
    <n v="428"/>
    <n v="51"/>
  </r>
  <r>
    <x v="5"/>
    <s v="BS6 Only"/>
    <s v="June"/>
    <s v="Q1"/>
    <s v="2019-20"/>
    <n v="5762"/>
    <n v="5481"/>
    <n v="465"/>
    <n v="428"/>
    <n v="37"/>
  </r>
  <r>
    <x v="5"/>
    <s v="BS6 Only"/>
    <s v="July"/>
    <s v="Q2"/>
    <s v="2019-20"/>
    <n v="5145"/>
    <n v="4510"/>
    <n v="461"/>
    <n v="428"/>
    <n v="33"/>
  </r>
  <r>
    <x v="5"/>
    <s v="BS6 Only"/>
    <s v="August"/>
    <s v="Q2"/>
    <s v="2019-20"/>
    <n v="5428"/>
    <n v="4990"/>
    <n v="570"/>
    <n v="428"/>
    <n v="142"/>
  </r>
  <r>
    <x v="5"/>
    <s v="BS6 Only"/>
    <s v="September"/>
    <s v="Q2"/>
    <s v="2019-20"/>
    <n v="5757"/>
    <n v="5291"/>
    <n v="404"/>
    <n v="428"/>
    <n v="-24"/>
  </r>
  <r>
    <x v="5"/>
    <s v="BS6 Only"/>
    <s v="October"/>
    <s v="Q3"/>
    <s v="2019-20"/>
    <n v="5944"/>
    <n v="5792"/>
    <n v="570"/>
    <n v="428"/>
    <n v="142"/>
  </r>
  <r>
    <x v="5"/>
    <s v="BS6 Only"/>
    <s v="November"/>
    <s v="Q3"/>
    <s v="2019-20"/>
    <n v="5260"/>
    <n v="4566"/>
    <n v="534"/>
    <n v="428"/>
    <n v="106"/>
  </r>
  <r>
    <x v="5"/>
    <s v="BS6 Only"/>
    <s v="December"/>
    <s v="Q3"/>
    <s v="2019-20"/>
    <n v="6865"/>
    <n v="6146"/>
    <n v="353"/>
    <n v="428"/>
    <n v="-75"/>
  </r>
  <r>
    <x v="5"/>
    <s v="BS6 Only"/>
    <s v="January"/>
    <s v="Q4"/>
    <s v="2019-20"/>
    <n v="5629"/>
    <n v="5126"/>
    <n v="404"/>
    <n v="428"/>
    <n v="-24"/>
  </r>
  <r>
    <x v="5"/>
    <s v="BS6 Only"/>
    <s v="February"/>
    <s v="Q4"/>
    <s v="2019-20"/>
    <n v="5584"/>
    <n v="4990"/>
    <n v="508"/>
    <n v="428"/>
    <n v="80"/>
  </r>
  <r>
    <x v="5"/>
    <s v="BS6 Only"/>
    <s v="March"/>
    <s v="Q4"/>
    <s v="2019-20"/>
    <n v="6229"/>
    <n v="5614"/>
    <n v="436"/>
    <n v="428"/>
    <n v="8"/>
  </r>
  <r>
    <x v="5"/>
    <s v="BS6 Only"/>
    <s v="April"/>
    <s v="Q1"/>
    <s v="2020-21"/>
    <n v="5332"/>
    <n v="4861"/>
    <n v="529"/>
    <n v="428"/>
    <n v="101"/>
  </r>
  <r>
    <x v="5"/>
    <s v="BS6 Only"/>
    <s v="May"/>
    <s v="Q1"/>
    <s v="2020-21"/>
    <n v="5968"/>
    <n v="5868"/>
    <n v="469"/>
    <n v="428"/>
    <n v="41"/>
  </r>
  <r>
    <x v="5"/>
    <s v="BS6 Only"/>
    <s v="June"/>
    <s v="Q1"/>
    <s v="2020-21"/>
    <n v="6761"/>
    <n v="5757"/>
    <n v="367"/>
    <n v="428"/>
    <n v="-61"/>
  </r>
  <r>
    <x v="5"/>
    <s v="BS6 Only"/>
    <s v="July"/>
    <s v="Q2"/>
    <s v="2020-21"/>
    <n v="6566"/>
    <n v="6325"/>
    <n v="566"/>
    <n v="428"/>
    <n v="138"/>
  </r>
  <r>
    <x v="5"/>
    <s v="BS6 Only"/>
    <s v="August"/>
    <s v="Q2"/>
    <s v="2020-21"/>
    <n v="6080"/>
    <n v="5586"/>
    <n v="502"/>
    <n v="428"/>
    <n v="74"/>
  </r>
  <r>
    <x v="5"/>
    <s v="BS6 Only"/>
    <s v="September"/>
    <s v="Q2"/>
    <s v="2020-21"/>
    <n v="5448"/>
    <n v="5004"/>
    <n v="360"/>
    <n v="428"/>
    <n v="-68"/>
  </r>
  <r>
    <x v="5"/>
    <s v="BS6 Only"/>
    <s v="October"/>
    <s v="Q3"/>
    <s v="2020-21"/>
    <n v="6410"/>
    <n v="6070"/>
    <n v="492"/>
    <n v="428"/>
    <n v="64"/>
  </r>
  <r>
    <x v="5"/>
    <s v="BS6 Only"/>
    <s v="November"/>
    <s v="Q3"/>
    <s v="2020-21"/>
    <n v="5630"/>
    <n v="4835"/>
    <n v="408"/>
    <n v="428"/>
    <n v="-20"/>
  </r>
  <r>
    <x v="5"/>
    <s v="BS6 Only"/>
    <s v="December"/>
    <s v="Q3"/>
    <s v="2020-21"/>
    <n v="6832"/>
    <n v="6666"/>
    <n v="531"/>
    <n v="428"/>
    <n v="103"/>
  </r>
  <r>
    <x v="5"/>
    <s v="BS6 Only"/>
    <s v="January"/>
    <s v="Q4"/>
    <s v="2020-21"/>
    <n v="6440"/>
    <n v="5630"/>
    <n v="441"/>
    <n v="428"/>
    <n v="13"/>
  </r>
  <r>
    <x v="5"/>
    <s v="BS6 Only"/>
    <s v="February"/>
    <s v="Q4"/>
    <s v="2020-21"/>
    <n v="5367"/>
    <n v="4985"/>
    <n v="374"/>
    <n v="428"/>
    <n v="-54"/>
  </r>
  <r>
    <x v="5"/>
    <s v="BS6 Only"/>
    <s v="March"/>
    <s v="Q4"/>
    <s v="2020-21"/>
    <n v="5865"/>
    <n v="5653"/>
    <n v="341"/>
    <n v="428"/>
    <n v="-87"/>
  </r>
  <r>
    <x v="5"/>
    <s v="BS6 Only"/>
    <s v="April"/>
    <s v="Q1"/>
    <s v="2021-22"/>
    <n v="6737"/>
    <n v="6427"/>
    <n v="550"/>
    <n v="428"/>
    <n v="122"/>
  </r>
  <r>
    <x v="5"/>
    <s v="BS6 Only"/>
    <s v="May"/>
    <s v="Q1"/>
    <s v="2021-22"/>
    <n v="5816"/>
    <n v="5239"/>
    <n v="540"/>
    <n v="428"/>
    <n v="112"/>
  </r>
  <r>
    <x v="5"/>
    <s v="BS6 Only"/>
    <s v="June"/>
    <s v="Q1"/>
    <s v="2021-22"/>
    <n v="5353"/>
    <n v="4921"/>
    <n v="555"/>
    <n v="428"/>
    <n v="127"/>
  </r>
  <r>
    <x v="5"/>
    <s v="BS6 Only"/>
    <s v="July"/>
    <s v="Q2"/>
    <s v="2021-22"/>
    <n v="6048"/>
    <n v="5616"/>
    <n v="390"/>
    <n v="428"/>
    <n v="-38"/>
  </r>
  <r>
    <x v="5"/>
    <s v="BS6 Only"/>
    <s v="August"/>
    <s v="Q2"/>
    <s v="2021-22"/>
    <n v="6145"/>
    <n v="5647"/>
    <n v="489"/>
    <n v="428"/>
    <n v="6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4">
  <r>
    <x v="0"/>
    <s v="BS4 Only"/>
    <s v="April"/>
    <s v="Q1"/>
    <s v="2019-20"/>
    <n v="6336"/>
    <n v="5600"/>
    <n v="432"/>
    <n v="400"/>
    <n v="32"/>
    <n v="8"/>
  </r>
  <r>
    <x v="0"/>
    <s v="BS4 Only"/>
    <s v="May"/>
    <s v="Q1"/>
    <s v="2019-20"/>
    <n v="5686"/>
    <n v="5523"/>
    <n v="433"/>
    <n v="400"/>
    <n v="33"/>
    <n v="8.25"/>
  </r>
  <r>
    <x v="0"/>
    <s v="BS4 Only"/>
    <s v="June"/>
    <s v="Q1"/>
    <s v="2019-20"/>
    <n v="6614"/>
    <n v="5726"/>
    <n v="498"/>
    <n v="400"/>
    <n v="98"/>
    <n v="24.5"/>
  </r>
  <r>
    <x v="0"/>
    <s v="BS4 Only"/>
    <s v="July"/>
    <s v="Q2"/>
    <s v="2019-20"/>
    <n v="5470"/>
    <n v="4916"/>
    <n v="539"/>
    <n v="400"/>
    <n v="139"/>
    <n v="34.75"/>
  </r>
  <r>
    <x v="0"/>
    <s v="BS4 Only"/>
    <s v="August"/>
    <s v="Q2"/>
    <s v="2019-20"/>
    <n v="6496"/>
    <n v="6089"/>
    <n v="463"/>
    <n v="400"/>
    <n v="63"/>
    <n v="15.75"/>
  </r>
  <r>
    <x v="0"/>
    <s v="BS4 Only"/>
    <s v="September"/>
    <s v="Q2"/>
    <s v="2019-20"/>
    <n v="5306"/>
    <n v="5032"/>
    <n v="463"/>
    <n v="400"/>
    <n v="63"/>
    <n v="15.75"/>
  </r>
  <r>
    <x v="0"/>
    <s v="BS4 Only"/>
    <s v="October"/>
    <s v="Q3"/>
    <s v="2019-20"/>
    <n v="5725"/>
    <n v="5478"/>
    <n v="328"/>
    <n v="400"/>
    <n v="-72"/>
    <n v="-18"/>
  </r>
  <r>
    <x v="0"/>
    <s v="BS4 Only"/>
    <s v="November"/>
    <s v="Q3"/>
    <s v="2019-20"/>
    <n v="5717"/>
    <n v="5675"/>
    <n v="408"/>
    <n v="400"/>
    <n v="8"/>
    <n v="2"/>
  </r>
  <r>
    <x v="0"/>
    <s v="BS4 Only"/>
    <s v="December"/>
    <s v="Q3"/>
    <s v="2019-20"/>
    <n v="6043"/>
    <n v="5489"/>
    <n v="341"/>
    <n v="400"/>
    <n v="-59"/>
    <n v="-14.75"/>
  </r>
  <r>
    <x v="0"/>
    <s v="BS4 Only"/>
    <s v="January"/>
    <s v="Q4"/>
    <s v="2019-20"/>
    <n v="6454"/>
    <n v="5869"/>
    <n v="527"/>
    <n v="400"/>
    <n v="127"/>
    <n v="31.75"/>
  </r>
  <r>
    <x v="0"/>
    <s v="BS4 Only"/>
    <s v="February"/>
    <s v="Q4"/>
    <s v="2019-20"/>
    <n v="6747"/>
    <n v="6019"/>
    <n v="448"/>
    <n v="400"/>
    <n v="48"/>
    <n v="12"/>
  </r>
  <r>
    <x v="0"/>
    <s v="BS4 Only"/>
    <s v="March"/>
    <s v="Q4"/>
    <s v="2019-20"/>
    <n v="6690"/>
    <n v="6225"/>
    <n v="404"/>
    <n v="400"/>
    <n v="4"/>
    <n v="1"/>
  </r>
  <r>
    <x v="0"/>
    <s v="BS4 Only"/>
    <s v="April"/>
    <s v="Q1"/>
    <s v="2020-21"/>
    <n v="5232"/>
    <n v="4858"/>
    <n v="492"/>
    <n v="400"/>
    <n v="92"/>
    <n v="23"/>
  </r>
  <r>
    <x v="0"/>
    <s v="BS4 Only"/>
    <s v="May"/>
    <s v="Q1"/>
    <s v="2020-21"/>
    <n v="6139"/>
    <n v="5419"/>
    <n v="461"/>
    <n v="400"/>
    <n v="61"/>
    <n v="15.25"/>
  </r>
  <r>
    <x v="0"/>
    <s v="BS4 Only"/>
    <s v="June"/>
    <s v="Q1"/>
    <s v="2020-21"/>
    <n v="5392"/>
    <n v="4768"/>
    <n v="562"/>
    <n v="400"/>
    <n v="162"/>
    <n v="40.5"/>
  </r>
  <r>
    <x v="0"/>
    <s v="BS4 Only"/>
    <s v="July"/>
    <s v="Q2"/>
    <s v="2020-21"/>
    <n v="6208"/>
    <n v="5868"/>
    <n v="367"/>
    <n v="400"/>
    <n v="-33"/>
    <n v="-8.25"/>
  </r>
  <r>
    <x v="0"/>
    <s v="BS4 Only"/>
    <s v="August"/>
    <s v="Q2"/>
    <s v="2020-21"/>
    <n v="6567"/>
    <n v="5966"/>
    <n v="341"/>
    <n v="400"/>
    <n v="-59"/>
    <n v="-14.75"/>
  </r>
  <r>
    <x v="0"/>
    <s v="BS4 Only"/>
    <s v="September"/>
    <s v="Q2"/>
    <s v="2020-21"/>
    <n v="6063"/>
    <n v="5849"/>
    <n v="525"/>
    <n v="400"/>
    <n v="125"/>
    <n v="31.25"/>
  </r>
  <r>
    <x v="0"/>
    <s v="BS4 Only"/>
    <s v="October"/>
    <s v="Q3"/>
    <s v="2020-21"/>
    <n v="6311"/>
    <n v="6254"/>
    <n v="419"/>
    <n v="400"/>
    <n v="19"/>
    <n v="4.75"/>
  </r>
  <r>
    <x v="0"/>
    <s v="BS4 Only"/>
    <s v="November"/>
    <s v="Q3"/>
    <s v="2020-21"/>
    <n v="5220"/>
    <n v="5082"/>
    <n v="524"/>
    <n v="400"/>
    <n v="124"/>
    <n v="31"/>
  </r>
  <r>
    <x v="0"/>
    <s v="BS4 Only"/>
    <s v="December"/>
    <s v="Q3"/>
    <s v="2020-21"/>
    <n v="5626"/>
    <n v="5190"/>
    <n v="461"/>
    <n v="400"/>
    <n v="61"/>
    <n v="15.25"/>
  </r>
  <r>
    <x v="0"/>
    <s v="BS4 Only"/>
    <s v="January"/>
    <s v="Q4"/>
    <s v="2020-21"/>
    <n v="5832"/>
    <n v="5270"/>
    <n v="381"/>
    <n v="400"/>
    <n v="-19"/>
    <n v="-4.75"/>
  </r>
  <r>
    <x v="0"/>
    <s v="BS4 Only"/>
    <s v="February"/>
    <s v="Q4"/>
    <s v="2020-21"/>
    <n v="5592"/>
    <n v="5241"/>
    <n v="424"/>
    <n v="400"/>
    <n v="24"/>
    <n v="6"/>
  </r>
  <r>
    <x v="0"/>
    <s v="BS4 Only"/>
    <s v="March"/>
    <s v="Q4"/>
    <s v="2020-21"/>
    <n v="5737"/>
    <n v="5268"/>
    <n v="378"/>
    <n v="400"/>
    <n v="-22"/>
    <n v="-5.5"/>
  </r>
  <r>
    <x v="0"/>
    <s v="BS4 Only"/>
    <s v="April"/>
    <s v="Q1"/>
    <s v="2021-22"/>
    <n v="5465"/>
    <n v="4825"/>
    <n v="556"/>
    <n v="400"/>
    <n v="156"/>
    <n v="39"/>
  </r>
  <r>
    <x v="0"/>
    <s v="BS4 Only"/>
    <s v="May"/>
    <s v="Q1"/>
    <s v="2021-22"/>
    <n v="5689"/>
    <n v="5340"/>
    <n v="433"/>
    <n v="400"/>
    <n v="33"/>
    <n v="8.25"/>
  </r>
  <r>
    <x v="0"/>
    <s v="BS4 Only"/>
    <s v="June"/>
    <s v="Q1"/>
    <s v="2021-22"/>
    <n v="5752"/>
    <n v="5197"/>
    <n v="530"/>
    <n v="400"/>
    <n v="130"/>
    <n v="32.5"/>
  </r>
  <r>
    <x v="0"/>
    <s v="BS4 Only"/>
    <s v="July"/>
    <s v="Q2"/>
    <s v="2021-22"/>
    <n v="6668"/>
    <n v="6061"/>
    <n v="452"/>
    <n v="400"/>
    <n v="52"/>
    <n v="13"/>
  </r>
  <r>
    <x v="0"/>
    <s v="BS4 Only"/>
    <s v="August"/>
    <s v="Q2"/>
    <s v="2021-22"/>
    <n v="5889"/>
    <n v="5316"/>
    <n v="452"/>
    <n v="400"/>
    <n v="52"/>
    <n v="13"/>
  </r>
  <r>
    <x v="1"/>
    <s v="BS4 Only"/>
    <s v="April"/>
    <s v="Q1"/>
    <s v="2019-20"/>
    <n v="6348"/>
    <n v="6003"/>
    <n v="347"/>
    <n v="334"/>
    <n v="13"/>
    <n v="3.8922155688622757"/>
  </r>
  <r>
    <x v="1"/>
    <s v="BS4 Only"/>
    <s v="May"/>
    <s v="Q1"/>
    <s v="2019-20"/>
    <n v="5972"/>
    <n v="5871"/>
    <n v="396"/>
    <n v="334"/>
    <n v="62"/>
    <n v="18.562874251497004"/>
  </r>
  <r>
    <x v="1"/>
    <s v="BS4 Only"/>
    <s v="June"/>
    <s v="Q1"/>
    <s v="2019-20"/>
    <n v="5866"/>
    <n v="5226"/>
    <n v="364"/>
    <n v="334"/>
    <n v="30"/>
    <n v="8.9820359281437128"/>
  </r>
  <r>
    <x v="1"/>
    <s v="BS4 Only"/>
    <s v="July"/>
    <s v="Q2"/>
    <s v="2019-20"/>
    <n v="6385"/>
    <n v="5861"/>
    <n v="540"/>
    <n v="334"/>
    <n v="206"/>
    <n v="61.676646706586823"/>
  </r>
  <r>
    <x v="1"/>
    <s v="BS4 Only"/>
    <s v="August"/>
    <s v="Q2"/>
    <s v="2019-20"/>
    <n v="5165"/>
    <n v="4662"/>
    <n v="513"/>
    <n v="334"/>
    <n v="179"/>
    <n v="53.592814371257482"/>
  </r>
  <r>
    <x v="1"/>
    <s v="BS4 Only"/>
    <s v="September"/>
    <s v="Q2"/>
    <s v="2019-20"/>
    <n v="6820"/>
    <n v="6405"/>
    <n v="498"/>
    <n v="334"/>
    <n v="164"/>
    <n v="49.101796407185624"/>
  </r>
  <r>
    <x v="1"/>
    <s v="BS4 Only"/>
    <s v="October"/>
    <s v="Q3"/>
    <s v="2019-20"/>
    <n v="5827"/>
    <n v="5890"/>
    <n v="562"/>
    <n v="334"/>
    <n v="228"/>
    <n v="68.263473053892227"/>
  </r>
  <r>
    <x v="1"/>
    <s v="BS4 Only"/>
    <s v="November"/>
    <s v="Q3"/>
    <s v="2019-20"/>
    <n v="6533"/>
    <n v="5944"/>
    <n v="475"/>
    <n v="334"/>
    <n v="141"/>
    <n v="42.215568862275447"/>
  </r>
  <r>
    <x v="1"/>
    <s v="BS4 Only"/>
    <s v="December"/>
    <s v="Q3"/>
    <s v="2019-20"/>
    <n v="5685"/>
    <n v="5376"/>
    <n v="371"/>
    <n v="334"/>
    <n v="37"/>
    <n v="11.077844311377245"/>
  </r>
  <r>
    <x v="1"/>
    <s v="BS4 Only"/>
    <s v="January"/>
    <s v="Q4"/>
    <s v="2019-20"/>
    <n v="6781"/>
    <n v="6608"/>
    <n v="360"/>
    <n v="334"/>
    <n v="26"/>
    <n v="7.7844311377245514"/>
  </r>
  <r>
    <x v="1"/>
    <s v="BS4 Only"/>
    <s v="February"/>
    <s v="Q4"/>
    <s v="2019-20"/>
    <n v="5535"/>
    <n v="5088"/>
    <n v="404"/>
    <n v="334"/>
    <n v="70"/>
    <n v="20.958083832335326"/>
  </r>
  <r>
    <x v="1"/>
    <s v="BS4 Only"/>
    <s v="March"/>
    <s v="Q4"/>
    <s v="2019-20"/>
    <n v="6222"/>
    <n v="5548"/>
    <n v="372"/>
    <n v="334"/>
    <n v="38"/>
    <n v="11.377245508982035"/>
  </r>
  <r>
    <x v="1"/>
    <s v="BS4 Only"/>
    <s v="April"/>
    <s v="Q1"/>
    <s v="2020-21"/>
    <n v="6713"/>
    <n v="6013"/>
    <n v="435"/>
    <n v="334"/>
    <n v="101"/>
    <n v="30.239520958083833"/>
  </r>
  <r>
    <x v="1"/>
    <s v="BS4 Only"/>
    <s v="May"/>
    <s v="Q1"/>
    <s v="2020-21"/>
    <n v="6675"/>
    <n v="6092"/>
    <n v="341"/>
    <n v="334"/>
    <n v="7"/>
    <n v="2.0958083832335328"/>
  </r>
  <r>
    <x v="1"/>
    <s v="BS4 Only"/>
    <s v="June"/>
    <s v="Q1"/>
    <s v="2020-21"/>
    <n v="6186"/>
    <n v="5729"/>
    <n v="488"/>
    <n v="334"/>
    <n v="154"/>
    <n v="46.107784431137731"/>
  </r>
  <r>
    <x v="1"/>
    <s v="BS4 Only"/>
    <s v="July"/>
    <s v="Q2"/>
    <s v="2020-21"/>
    <n v="5038"/>
    <n v="4538"/>
    <n v="452"/>
    <n v="334"/>
    <n v="118"/>
    <n v="35.32934131736527"/>
  </r>
  <r>
    <x v="1"/>
    <s v="BS4 Only"/>
    <s v="August"/>
    <s v="Q2"/>
    <s v="2020-21"/>
    <n v="6074"/>
    <n v="5227"/>
    <n v="392"/>
    <n v="334"/>
    <n v="58"/>
    <n v="17.365269461077844"/>
  </r>
  <r>
    <x v="1"/>
    <s v="BS4 Only"/>
    <s v="September"/>
    <s v="Q2"/>
    <s v="2020-21"/>
    <n v="5891"/>
    <n v="5167"/>
    <n v="524"/>
    <n v="334"/>
    <n v="190"/>
    <n v="56.886227544910184"/>
  </r>
  <r>
    <x v="1"/>
    <s v="BS4 Only"/>
    <s v="October"/>
    <s v="Q3"/>
    <s v="2020-21"/>
    <n v="6725"/>
    <n v="6192"/>
    <n v="368"/>
    <n v="334"/>
    <n v="34"/>
    <n v="10.179640718562874"/>
  </r>
  <r>
    <x v="1"/>
    <s v="BS4 Only"/>
    <s v="November"/>
    <s v="Q3"/>
    <s v="2020-21"/>
    <n v="5779"/>
    <n v="4959"/>
    <n v="546"/>
    <n v="334"/>
    <n v="212"/>
    <n v="63.473053892215567"/>
  </r>
  <r>
    <x v="1"/>
    <s v="BS4 Only"/>
    <s v="December"/>
    <s v="Q3"/>
    <s v="2020-21"/>
    <n v="5853"/>
    <n v="5544"/>
    <n v="522"/>
    <n v="334"/>
    <n v="188"/>
    <n v="56.287425149700596"/>
  </r>
  <r>
    <x v="1"/>
    <s v="BS4 Only"/>
    <s v="January"/>
    <s v="Q4"/>
    <s v="2020-21"/>
    <n v="6007"/>
    <n v="5509"/>
    <n v="400"/>
    <n v="334"/>
    <n v="66"/>
    <n v="19.760479041916167"/>
  </r>
  <r>
    <x v="1"/>
    <s v="BS4 Only"/>
    <s v="February"/>
    <s v="Q4"/>
    <s v="2020-21"/>
    <n v="5907"/>
    <n v="5331"/>
    <n v="517"/>
    <n v="334"/>
    <n v="183"/>
    <n v="54.790419161676652"/>
  </r>
  <r>
    <x v="1"/>
    <s v="BS4 Only"/>
    <s v="March"/>
    <s v="Q4"/>
    <s v="2020-21"/>
    <n v="6745"/>
    <n v="6331"/>
    <n v="527"/>
    <n v="334"/>
    <n v="193"/>
    <n v="57.784431137724546"/>
  </r>
  <r>
    <x v="1"/>
    <s v="BS4 Only"/>
    <s v="April"/>
    <s v="Q1"/>
    <s v="2021-22"/>
    <n v="5724"/>
    <n v="5163"/>
    <n v="551"/>
    <n v="334"/>
    <n v="217"/>
    <n v="64.970059880239518"/>
  </r>
  <r>
    <x v="1"/>
    <s v="BS4 Only"/>
    <s v="May"/>
    <s v="Q1"/>
    <s v="2021-22"/>
    <n v="5661"/>
    <n v="5250"/>
    <n v="516"/>
    <n v="334"/>
    <n v="182"/>
    <n v="54.491017964071851"/>
  </r>
  <r>
    <x v="1"/>
    <s v="BS4 Only"/>
    <s v="June"/>
    <s v="Q1"/>
    <s v="2021-22"/>
    <n v="6470"/>
    <n v="5716"/>
    <n v="489"/>
    <n v="334"/>
    <n v="155"/>
    <n v="46.407185628742518"/>
  </r>
  <r>
    <x v="1"/>
    <s v="BS4 Only"/>
    <s v="July"/>
    <s v="Q2"/>
    <s v="2021-22"/>
    <n v="6069"/>
    <n v="5523"/>
    <n v="539"/>
    <n v="334"/>
    <n v="205"/>
    <n v="61.377245508982035"/>
  </r>
  <r>
    <x v="1"/>
    <s v="BS4 Only"/>
    <s v="August"/>
    <s v="Q2"/>
    <s v="2021-22"/>
    <n v="6166"/>
    <n v="5357"/>
    <n v="469"/>
    <n v="334"/>
    <n v="135"/>
    <n v="40.419161676646709"/>
  </r>
  <r>
    <x v="2"/>
    <s v="Combination"/>
    <s v="April"/>
    <s v="Q1"/>
    <s v="2019-20"/>
    <n v="6505"/>
    <n v="5858"/>
    <n v="364"/>
    <n v="455"/>
    <n v="-91"/>
    <n v="-20"/>
  </r>
  <r>
    <x v="2"/>
    <s v="Combination"/>
    <s v="May"/>
    <s v="Q1"/>
    <s v="2019-20"/>
    <n v="5147"/>
    <n v="4816"/>
    <n v="357"/>
    <n v="455"/>
    <n v="-98"/>
    <n v="-21.53846153846154"/>
  </r>
  <r>
    <x v="2"/>
    <s v="Combination"/>
    <s v="June"/>
    <s v="Q1"/>
    <s v="2019-20"/>
    <n v="5722"/>
    <n v="5059"/>
    <n v="386"/>
    <n v="455"/>
    <n v="-69"/>
    <n v="-15.164835164835164"/>
  </r>
  <r>
    <x v="2"/>
    <s v="Combination"/>
    <s v="July"/>
    <s v="Q2"/>
    <s v="2019-20"/>
    <n v="6285"/>
    <n v="5601"/>
    <n v="493"/>
    <n v="455"/>
    <n v="38"/>
    <n v="8.3516483516483504"/>
  </r>
  <r>
    <x v="2"/>
    <s v="Combination"/>
    <s v="August"/>
    <s v="Q2"/>
    <s v="2019-20"/>
    <n v="6087"/>
    <n v="5937"/>
    <n v="560"/>
    <n v="455"/>
    <n v="105"/>
    <n v="23.076923076923077"/>
  </r>
  <r>
    <x v="2"/>
    <s v="Combination"/>
    <s v="September"/>
    <s v="Q2"/>
    <s v="2019-20"/>
    <n v="5506"/>
    <n v="5222"/>
    <n v="498"/>
    <n v="455"/>
    <n v="43"/>
    <n v="9.4505494505494507"/>
  </r>
  <r>
    <x v="2"/>
    <s v="Combination"/>
    <s v="October"/>
    <s v="Q3"/>
    <s v="2019-20"/>
    <n v="6341"/>
    <n v="5844"/>
    <n v="448"/>
    <n v="455"/>
    <n v="-7"/>
    <n v="-1.5384615384615385"/>
  </r>
  <r>
    <x v="2"/>
    <s v="Combination"/>
    <s v="November"/>
    <s v="Q3"/>
    <s v="2019-20"/>
    <n v="5442"/>
    <n v="5154"/>
    <n v="415"/>
    <n v="455"/>
    <n v="-40"/>
    <n v="-8.791208791208792"/>
  </r>
  <r>
    <x v="2"/>
    <s v="Combination"/>
    <s v="December"/>
    <s v="Q3"/>
    <s v="2019-20"/>
    <n v="5472"/>
    <n v="4824"/>
    <n v="484"/>
    <n v="455"/>
    <n v="29"/>
    <n v="6.3736263736263732"/>
  </r>
  <r>
    <x v="2"/>
    <s v="Combination"/>
    <s v="January"/>
    <s v="Q4"/>
    <s v="2019-20"/>
    <n v="5890"/>
    <n v="5165"/>
    <n v="372"/>
    <n v="455"/>
    <n v="-83"/>
    <n v="-18.241758241758241"/>
  </r>
  <r>
    <x v="2"/>
    <s v="Combination"/>
    <s v="February"/>
    <s v="Q4"/>
    <s v="2019-20"/>
    <n v="5481"/>
    <n v="4792"/>
    <n v="334"/>
    <n v="455"/>
    <n v="-121"/>
    <n v="-26.593406593406595"/>
  </r>
  <r>
    <x v="2"/>
    <s v="Combination"/>
    <s v="March"/>
    <s v="Q4"/>
    <s v="2019-20"/>
    <n v="5281"/>
    <n v="5338"/>
    <n v="338"/>
    <n v="455"/>
    <n v="-117"/>
    <n v="-25.714285714285712"/>
  </r>
  <r>
    <x v="2"/>
    <s v="Combination"/>
    <s v="April"/>
    <s v="Q1"/>
    <s v="2020-21"/>
    <n v="5989"/>
    <n v="5773"/>
    <n v="461"/>
    <n v="455"/>
    <n v="6"/>
    <n v="1.3186813186813187"/>
  </r>
  <r>
    <x v="2"/>
    <s v="Combination"/>
    <s v="May"/>
    <s v="Q1"/>
    <s v="2020-21"/>
    <n v="6232"/>
    <n v="5440"/>
    <n v="532"/>
    <n v="455"/>
    <n v="77"/>
    <n v="16.923076923076923"/>
  </r>
  <r>
    <x v="2"/>
    <s v="Combination"/>
    <s v="June"/>
    <s v="Q1"/>
    <s v="2020-21"/>
    <n v="6724"/>
    <n v="5949"/>
    <n v="454"/>
    <n v="455"/>
    <n v="-1"/>
    <n v="-0.21978021978021978"/>
  </r>
  <r>
    <x v="2"/>
    <s v="Combination"/>
    <s v="July"/>
    <s v="Q2"/>
    <s v="2020-21"/>
    <n v="6653"/>
    <n v="6167"/>
    <n v="545"/>
    <n v="455"/>
    <n v="90"/>
    <n v="19.780219780219781"/>
  </r>
  <r>
    <x v="2"/>
    <s v="Combination"/>
    <s v="August"/>
    <s v="Q2"/>
    <s v="2020-21"/>
    <n v="5410"/>
    <n v="5053"/>
    <n v="411"/>
    <n v="455"/>
    <n v="-44"/>
    <n v="-9.6703296703296715"/>
  </r>
  <r>
    <x v="2"/>
    <s v="Combination"/>
    <s v="September"/>
    <s v="Q2"/>
    <s v="2020-21"/>
    <n v="5322"/>
    <n v="4954"/>
    <n v="502"/>
    <n v="455"/>
    <n v="47"/>
    <n v="10.329670329670328"/>
  </r>
  <r>
    <x v="2"/>
    <s v="Combination"/>
    <s v="October"/>
    <s v="Q3"/>
    <s v="2020-21"/>
    <n v="6647"/>
    <n v="6408"/>
    <n v="431"/>
    <n v="455"/>
    <n v="-24"/>
    <n v="-5.2747252747252746"/>
  </r>
  <r>
    <x v="2"/>
    <s v="Combination"/>
    <s v="November"/>
    <s v="Q3"/>
    <s v="2020-21"/>
    <n v="5170"/>
    <n v="5123"/>
    <n v="540"/>
    <n v="455"/>
    <n v="85"/>
    <n v="18.681318681318682"/>
  </r>
  <r>
    <x v="2"/>
    <s v="Combination"/>
    <s v="December"/>
    <s v="Q3"/>
    <s v="2020-21"/>
    <n v="5227"/>
    <n v="4954"/>
    <n v="551"/>
    <n v="455"/>
    <n v="96"/>
    <n v="21.098901098901099"/>
  </r>
  <r>
    <x v="2"/>
    <s v="Combination"/>
    <s v="January"/>
    <s v="Q4"/>
    <s v="2020-21"/>
    <n v="5232"/>
    <n v="5141"/>
    <n v="513"/>
    <n v="455"/>
    <n v="58"/>
    <n v="12.747252747252746"/>
  </r>
  <r>
    <x v="2"/>
    <s v="Combination"/>
    <s v="February"/>
    <s v="Q4"/>
    <s v="2020-21"/>
    <n v="6726"/>
    <n v="6618"/>
    <n v="428"/>
    <n v="455"/>
    <n v="-27"/>
    <n v="-5.9340659340659334"/>
  </r>
  <r>
    <x v="2"/>
    <s v="Combination"/>
    <s v="March"/>
    <s v="Q4"/>
    <s v="2020-21"/>
    <n v="6450"/>
    <n v="5661"/>
    <n v="513"/>
    <n v="455"/>
    <n v="58"/>
    <n v="12.747252747252746"/>
  </r>
  <r>
    <x v="2"/>
    <s v="Combination"/>
    <s v="April"/>
    <s v="Q1"/>
    <s v="2021-22"/>
    <n v="6250"/>
    <n v="5622"/>
    <n v="531"/>
    <n v="455"/>
    <n v="76"/>
    <n v="16.703296703296701"/>
  </r>
  <r>
    <x v="2"/>
    <s v="Combination"/>
    <s v="May"/>
    <s v="Q1"/>
    <s v="2021-22"/>
    <n v="5075"/>
    <n v="4985"/>
    <n v="388"/>
    <n v="455"/>
    <n v="-67"/>
    <n v="-14.725274725274726"/>
  </r>
  <r>
    <x v="2"/>
    <s v="Combination"/>
    <s v="June"/>
    <s v="Q1"/>
    <s v="2021-22"/>
    <n v="5267"/>
    <n v="4797"/>
    <n v="454"/>
    <n v="455"/>
    <n v="-1"/>
    <n v="-0.21978021978021978"/>
  </r>
  <r>
    <x v="2"/>
    <s v="Combination"/>
    <s v="July"/>
    <s v="Q2"/>
    <s v="2021-22"/>
    <n v="5673"/>
    <n v="5112"/>
    <n v="499"/>
    <n v="455"/>
    <n v="44"/>
    <n v="9.6703296703296715"/>
  </r>
  <r>
    <x v="2"/>
    <s v="Combination"/>
    <s v="August"/>
    <s v="Q2"/>
    <s v="2021-22"/>
    <n v="6151"/>
    <n v="5820"/>
    <n v="423"/>
    <n v="455"/>
    <n v="-32"/>
    <n v="-7.0329670329670328"/>
  </r>
  <r>
    <x v="3"/>
    <s v="Combination"/>
    <s v="April"/>
    <s v="Q1"/>
    <s v="2019-20"/>
    <n v="5935"/>
    <n v="5353"/>
    <n v="424"/>
    <n v="379"/>
    <n v="45"/>
    <n v="11.87335092348285"/>
  </r>
  <r>
    <x v="3"/>
    <s v="Combination"/>
    <s v="May"/>
    <s v="Q1"/>
    <s v="2019-20"/>
    <n v="6126"/>
    <n v="5908"/>
    <n v="420"/>
    <n v="379"/>
    <n v="41"/>
    <n v="10.817941952506596"/>
  </r>
  <r>
    <x v="3"/>
    <s v="Combination"/>
    <s v="June"/>
    <s v="Q1"/>
    <s v="2019-20"/>
    <n v="5985"/>
    <n v="5392"/>
    <n v="419"/>
    <n v="379"/>
    <n v="40"/>
    <n v="10.554089709762533"/>
  </r>
  <r>
    <x v="3"/>
    <s v="Combination"/>
    <s v="July"/>
    <s v="Q2"/>
    <s v="2019-20"/>
    <n v="6015"/>
    <n v="5623"/>
    <n v="565"/>
    <n v="379"/>
    <n v="186"/>
    <n v="49.076517150395773"/>
  </r>
  <r>
    <x v="3"/>
    <s v="Combination"/>
    <s v="August"/>
    <s v="Q2"/>
    <s v="2019-20"/>
    <n v="5124"/>
    <n v="4615"/>
    <n v="452"/>
    <n v="379"/>
    <n v="73"/>
    <n v="19.261213720316622"/>
  </r>
  <r>
    <x v="3"/>
    <s v="Combination"/>
    <s v="September"/>
    <s v="Q2"/>
    <s v="2019-20"/>
    <n v="6528"/>
    <n v="6475"/>
    <n v="427"/>
    <n v="379"/>
    <n v="48"/>
    <n v="12.664907651715041"/>
  </r>
  <r>
    <x v="3"/>
    <s v="Combination"/>
    <s v="October"/>
    <s v="Q3"/>
    <s v="2019-20"/>
    <n v="6438"/>
    <n v="5922"/>
    <n v="448"/>
    <n v="379"/>
    <n v="69"/>
    <n v="18.20580474934037"/>
  </r>
  <r>
    <x v="3"/>
    <s v="Combination"/>
    <s v="November"/>
    <s v="Q3"/>
    <s v="2019-20"/>
    <n v="5551"/>
    <n v="5002"/>
    <n v="526"/>
    <n v="379"/>
    <n v="147"/>
    <n v="38.786279683377309"/>
  </r>
  <r>
    <x v="3"/>
    <s v="Combination"/>
    <s v="December"/>
    <s v="Q3"/>
    <s v="2019-20"/>
    <n v="5892"/>
    <n v="5214"/>
    <n v="386"/>
    <n v="379"/>
    <n v="7"/>
    <n v="1.8469656992084433"/>
  </r>
  <r>
    <x v="3"/>
    <s v="Combination"/>
    <s v="January"/>
    <s v="Q4"/>
    <s v="2019-20"/>
    <n v="6661"/>
    <n v="6367"/>
    <n v="556"/>
    <n v="379"/>
    <n v="177"/>
    <n v="46.701846965699204"/>
  </r>
  <r>
    <x v="3"/>
    <s v="Combination"/>
    <s v="February"/>
    <s v="Q4"/>
    <s v="2019-20"/>
    <n v="6836"/>
    <n v="6174"/>
    <n v="503"/>
    <n v="379"/>
    <n v="124"/>
    <n v="32.717678100263853"/>
  </r>
  <r>
    <x v="3"/>
    <s v="Combination"/>
    <s v="March"/>
    <s v="Q4"/>
    <s v="2019-20"/>
    <n v="6023"/>
    <n v="5530"/>
    <n v="420"/>
    <n v="379"/>
    <n v="41"/>
    <n v="10.817941952506596"/>
  </r>
  <r>
    <x v="3"/>
    <s v="Combination"/>
    <s v="April"/>
    <s v="Q1"/>
    <s v="2020-21"/>
    <n v="5690"/>
    <n v="5543"/>
    <n v="378"/>
    <n v="379"/>
    <n v="-1"/>
    <n v="-0.26385224274406333"/>
  </r>
  <r>
    <x v="3"/>
    <s v="Combination"/>
    <s v="May"/>
    <s v="Q1"/>
    <s v="2020-21"/>
    <n v="6114"/>
    <n v="5797"/>
    <n v="435"/>
    <n v="379"/>
    <n v="56"/>
    <n v="14.775725593667547"/>
  </r>
  <r>
    <x v="3"/>
    <s v="Combination"/>
    <s v="June"/>
    <s v="Q1"/>
    <s v="2020-21"/>
    <n v="6704"/>
    <n v="6321"/>
    <n v="525"/>
    <n v="379"/>
    <n v="146"/>
    <n v="38.522427440633244"/>
  </r>
  <r>
    <x v="3"/>
    <s v="Combination"/>
    <s v="July"/>
    <s v="Q2"/>
    <s v="2020-21"/>
    <n v="6076"/>
    <n v="5585"/>
    <n v="499"/>
    <n v="379"/>
    <n v="120"/>
    <n v="31.662269129287601"/>
  </r>
  <r>
    <x v="3"/>
    <s v="Combination"/>
    <s v="August"/>
    <s v="Q2"/>
    <s v="2020-21"/>
    <n v="5670"/>
    <n v="4923"/>
    <n v="341"/>
    <n v="379"/>
    <n v="-38"/>
    <n v="-10.026385224274406"/>
  </r>
  <r>
    <x v="3"/>
    <s v="Combination"/>
    <s v="September"/>
    <s v="Q2"/>
    <s v="2020-21"/>
    <n v="5942"/>
    <n v="5259"/>
    <n v="478"/>
    <n v="379"/>
    <n v="99"/>
    <n v="26.121372031662272"/>
  </r>
  <r>
    <x v="3"/>
    <s v="Combination"/>
    <s v="October"/>
    <s v="Q3"/>
    <s v="2020-21"/>
    <n v="5598"/>
    <n v="5348"/>
    <n v="448"/>
    <n v="379"/>
    <n v="69"/>
    <n v="18.20580474934037"/>
  </r>
  <r>
    <x v="3"/>
    <s v="Combination"/>
    <s v="November"/>
    <s v="Q3"/>
    <s v="2020-21"/>
    <n v="5417"/>
    <n v="4926"/>
    <n v="466"/>
    <n v="379"/>
    <n v="87"/>
    <n v="22.955145118733508"/>
  </r>
  <r>
    <x v="3"/>
    <s v="Combination"/>
    <s v="December"/>
    <s v="Q3"/>
    <s v="2020-21"/>
    <n v="5185"/>
    <n v="5006"/>
    <n v="488"/>
    <n v="379"/>
    <n v="109"/>
    <n v="28.759894459102902"/>
  </r>
  <r>
    <x v="3"/>
    <s v="Combination"/>
    <s v="January"/>
    <s v="Q4"/>
    <s v="2020-21"/>
    <n v="6444"/>
    <n v="5803"/>
    <n v="404"/>
    <n v="379"/>
    <n v="25"/>
    <n v="6.5963060686015833"/>
  </r>
  <r>
    <x v="3"/>
    <s v="Combination"/>
    <s v="February"/>
    <s v="Q4"/>
    <s v="2020-21"/>
    <n v="5409"/>
    <n v="5111"/>
    <n v="535"/>
    <n v="379"/>
    <n v="156"/>
    <n v="41.160949868073878"/>
  </r>
  <r>
    <x v="3"/>
    <s v="Combination"/>
    <s v="March"/>
    <s v="Q4"/>
    <s v="2020-21"/>
    <n v="6539"/>
    <n v="6303"/>
    <n v="480"/>
    <n v="379"/>
    <n v="101"/>
    <n v="26.649076517150394"/>
  </r>
  <r>
    <x v="3"/>
    <s v="Combination"/>
    <s v="April"/>
    <s v="Q1"/>
    <s v="2021-22"/>
    <n v="5478"/>
    <n v="5223"/>
    <n v="513"/>
    <n v="379"/>
    <n v="134"/>
    <n v="35.356200527704488"/>
  </r>
  <r>
    <x v="3"/>
    <s v="Combination"/>
    <s v="May"/>
    <s v="Q1"/>
    <s v="2021-22"/>
    <n v="5292"/>
    <n v="5054"/>
    <n v="513"/>
    <n v="379"/>
    <n v="134"/>
    <n v="35.356200527704488"/>
  </r>
  <r>
    <x v="3"/>
    <s v="Combination"/>
    <s v="June"/>
    <s v="Q1"/>
    <s v="2021-22"/>
    <n v="5325"/>
    <n v="5119"/>
    <n v="502"/>
    <n v="379"/>
    <n v="123"/>
    <n v="32.453825857519789"/>
  </r>
  <r>
    <x v="3"/>
    <s v="Combination"/>
    <s v="July"/>
    <s v="Q2"/>
    <s v="2021-22"/>
    <n v="6496"/>
    <n v="5908"/>
    <n v="566"/>
    <n v="379"/>
    <n v="187"/>
    <n v="49.340369393139845"/>
  </r>
  <r>
    <x v="3"/>
    <s v="Combination"/>
    <s v="August"/>
    <s v="Q2"/>
    <s v="2021-22"/>
    <n v="5189"/>
    <n v="4807"/>
    <n v="408"/>
    <n v="379"/>
    <n v="29"/>
    <n v="7.6517150395778364"/>
  </r>
  <r>
    <x v="4"/>
    <s v="BS6 Only"/>
    <s v="April"/>
    <s v="Q1"/>
    <s v="2019-20"/>
    <n v="5443"/>
    <n v="5101"/>
    <n v="361"/>
    <n v="332"/>
    <n v="29"/>
    <n v="8.7349397590361448"/>
  </r>
  <r>
    <x v="4"/>
    <s v="BS6 Only"/>
    <s v="May"/>
    <s v="Q1"/>
    <s v="2019-20"/>
    <n v="6526"/>
    <n v="5886"/>
    <n v="508"/>
    <n v="332"/>
    <n v="176"/>
    <n v="53.01204819277109"/>
  </r>
  <r>
    <x v="4"/>
    <s v="BS6 Only"/>
    <s v="June"/>
    <s v="Q1"/>
    <s v="2019-20"/>
    <n v="6445"/>
    <n v="5482"/>
    <n v="367"/>
    <n v="332"/>
    <n v="35"/>
    <n v="10.542168674698797"/>
  </r>
  <r>
    <x v="4"/>
    <s v="BS6 Only"/>
    <s v="July"/>
    <s v="Q2"/>
    <s v="2019-20"/>
    <n v="5365"/>
    <n v="4683"/>
    <n v="428"/>
    <n v="332"/>
    <n v="96"/>
    <n v="28.915662650602407"/>
  </r>
  <r>
    <x v="4"/>
    <s v="BS6 Only"/>
    <s v="August"/>
    <s v="Q2"/>
    <s v="2019-20"/>
    <n v="5194"/>
    <n v="5012"/>
    <n v="497"/>
    <n v="332"/>
    <n v="165"/>
    <n v="49.698795180722897"/>
  </r>
  <r>
    <x v="4"/>
    <s v="BS6 Only"/>
    <s v="September"/>
    <s v="Q2"/>
    <s v="2019-20"/>
    <n v="5545"/>
    <n v="5016"/>
    <n v="524"/>
    <n v="332"/>
    <n v="192"/>
    <n v="57.831325301204814"/>
  </r>
  <r>
    <x v="4"/>
    <s v="BS6 Only"/>
    <s v="October"/>
    <s v="Q3"/>
    <s v="2019-20"/>
    <n v="5673"/>
    <n v="5525"/>
    <n v="360"/>
    <n v="332"/>
    <n v="28"/>
    <n v="8.4337349397590362"/>
  </r>
  <r>
    <x v="4"/>
    <s v="BS6 Only"/>
    <s v="November"/>
    <s v="Q3"/>
    <s v="2019-20"/>
    <n v="5406"/>
    <n v="4973"/>
    <n v="471"/>
    <n v="332"/>
    <n v="139"/>
    <n v="41.867469879518069"/>
  </r>
  <r>
    <x v="4"/>
    <s v="BS6 Only"/>
    <s v="December"/>
    <s v="Q3"/>
    <s v="2019-20"/>
    <n v="5536"/>
    <n v="4710"/>
    <n v="555"/>
    <n v="332"/>
    <n v="223"/>
    <n v="67.168674698795186"/>
  </r>
  <r>
    <x v="4"/>
    <s v="BS6 Only"/>
    <s v="January"/>
    <s v="Q4"/>
    <s v="2019-20"/>
    <n v="6275"/>
    <n v="5448"/>
    <n v="379"/>
    <n v="332"/>
    <n v="47"/>
    <n v="14.156626506024098"/>
  </r>
  <r>
    <x v="4"/>
    <s v="BS6 Only"/>
    <s v="February"/>
    <s v="Q4"/>
    <s v="2019-20"/>
    <n v="5125"/>
    <n v="4781"/>
    <n v="412"/>
    <n v="332"/>
    <n v="80"/>
    <n v="24.096385542168676"/>
  </r>
  <r>
    <x v="4"/>
    <s v="BS6 Only"/>
    <s v="March"/>
    <s v="Q4"/>
    <s v="2019-20"/>
    <n v="5759"/>
    <n v="5769"/>
    <n v="450"/>
    <n v="332"/>
    <n v="118"/>
    <n v="35.542168674698793"/>
  </r>
  <r>
    <x v="4"/>
    <s v="BS6 Only"/>
    <s v="April"/>
    <s v="Q1"/>
    <s v="2020-21"/>
    <n v="5908"/>
    <n v="5234"/>
    <n v="424"/>
    <n v="332"/>
    <n v="92"/>
    <n v="27.710843373493976"/>
  </r>
  <r>
    <x v="4"/>
    <s v="BS6 Only"/>
    <s v="May"/>
    <s v="Q1"/>
    <s v="2020-21"/>
    <n v="5785"/>
    <n v="5110"/>
    <n v="444"/>
    <n v="332"/>
    <n v="112"/>
    <n v="33.734939759036145"/>
  </r>
  <r>
    <x v="4"/>
    <s v="BS6 Only"/>
    <s v="June"/>
    <s v="Q1"/>
    <s v="2020-21"/>
    <n v="6151"/>
    <n v="5852"/>
    <n v="489"/>
    <n v="332"/>
    <n v="157"/>
    <n v="47.289156626506021"/>
  </r>
  <r>
    <x v="4"/>
    <s v="BS6 Only"/>
    <s v="July"/>
    <s v="Q2"/>
    <s v="2020-21"/>
    <n v="6775"/>
    <n v="6348"/>
    <n v="388"/>
    <n v="332"/>
    <n v="56"/>
    <n v="16.867469879518072"/>
  </r>
  <r>
    <x v="4"/>
    <s v="BS6 Only"/>
    <s v="August"/>
    <s v="Q2"/>
    <s v="2020-21"/>
    <n v="5582"/>
    <n v="4706"/>
    <n v="521"/>
    <n v="332"/>
    <n v="189"/>
    <n v="56.92771084337349"/>
  </r>
  <r>
    <x v="4"/>
    <s v="BS6 Only"/>
    <s v="September"/>
    <s v="Q2"/>
    <s v="2020-21"/>
    <n v="5621"/>
    <n v="5183"/>
    <n v="408"/>
    <n v="332"/>
    <n v="76"/>
    <n v="22.891566265060241"/>
  </r>
  <r>
    <x v="4"/>
    <s v="BS6 Only"/>
    <s v="October"/>
    <s v="Q3"/>
    <s v="2020-21"/>
    <n v="6105"/>
    <n v="5457"/>
    <n v="453"/>
    <n v="332"/>
    <n v="121"/>
    <n v="36.445783132530117"/>
  </r>
  <r>
    <x v="4"/>
    <s v="BS6 Only"/>
    <s v="November"/>
    <s v="Q3"/>
    <s v="2020-21"/>
    <n v="6230"/>
    <n v="5792"/>
    <n v="378"/>
    <n v="332"/>
    <n v="46"/>
    <n v="13.855421686746988"/>
  </r>
  <r>
    <x v="4"/>
    <s v="BS6 Only"/>
    <s v="December"/>
    <s v="Q3"/>
    <s v="2020-21"/>
    <n v="6246"/>
    <n v="6030"/>
    <n v="457"/>
    <n v="332"/>
    <n v="125"/>
    <n v="37.650602409638559"/>
  </r>
  <r>
    <x v="4"/>
    <s v="BS6 Only"/>
    <s v="January"/>
    <s v="Q4"/>
    <s v="2020-21"/>
    <n v="5796"/>
    <n v="5540"/>
    <n v="499"/>
    <n v="332"/>
    <n v="167"/>
    <n v="50.30120481927711"/>
  </r>
  <r>
    <x v="4"/>
    <s v="BS6 Only"/>
    <s v="February"/>
    <s v="Q4"/>
    <s v="2020-21"/>
    <n v="5885"/>
    <n v="5418"/>
    <n v="480"/>
    <n v="332"/>
    <n v="148"/>
    <n v="44.578313253012048"/>
  </r>
  <r>
    <x v="4"/>
    <s v="BS6 Only"/>
    <s v="March"/>
    <s v="Q4"/>
    <s v="2020-21"/>
    <n v="5970"/>
    <n v="5229"/>
    <n v="492"/>
    <n v="332"/>
    <n v="160"/>
    <n v="48.192771084337352"/>
  </r>
  <r>
    <x v="4"/>
    <s v="BS6 Only"/>
    <s v="April"/>
    <s v="Q1"/>
    <s v="2021-22"/>
    <n v="5601"/>
    <n v="5092"/>
    <n v="494"/>
    <n v="332"/>
    <n v="162"/>
    <n v="48.795180722891565"/>
  </r>
  <r>
    <x v="4"/>
    <s v="BS6 Only"/>
    <s v="May"/>
    <s v="Q1"/>
    <s v="2021-22"/>
    <n v="5276"/>
    <n v="5000"/>
    <n v="367"/>
    <n v="332"/>
    <n v="35"/>
    <n v="10.542168674698797"/>
  </r>
  <r>
    <x v="4"/>
    <s v="BS6 Only"/>
    <s v="June"/>
    <s v="Q1"/>
    <s v="2021-22"/>
    <n v="6069"/>
    <n v="5864"/>
    <n v="408"/>
    <n v="332"/>
    <n v="76"/>
    <n v="22.891566265060241"/>
  </r>
  <r>
    <x v="4"/>
    <s v="BS6 Only"/>
    <s v="July"/>
    <s v="Q2"/>
    <s v="2021-22"/>
    <n v="6231"/>
    <n v="5410"/>
    <n v="454"/>
    <n v="332"/>
    <n v="122"/>
    <n v="36.746987951807228"/>
  </r>
  <r>
    <x v="4"/>
    <s v="BS6 Only"/>
    <s v="August"/>
    <s v="Q2"/>
    <s v="2021-22"/>
    <n v="5585"/>
    <n v="5132"/>
    <n v="393"/>
    <n v="332"/>
    <n v="61"/>
    <n v="18.373493975903614"/>
  </r>
  <r>
    <x v="5"/>
    <s v="BS6 Only"/>
    <s v="April"/>
    <s v="Q1"/>
    <s v="2019-20"/>
    <n v="6364"/>
    <n v="6015"/>
    <n v="353"/>
    <n v="428"/>
    <n v="-75"/>
    <n v="-17.523364485981308"/>
  </r>
  <r>
    <x v="5"/>
    <s v="BS6 Only"/>
    <s v="May"/>
    <s v="Q1"/>
    <s v="2019-20"/>
    <n v="5201"/>
    <n v="5067"/>
    <n v="479"/>
    <n v="428"/>
    <n v="51"/>
    <n v="11.915887850467289"/>
  </r>
  <r>
    <x v="5"/>
    <s v="BS6 Only"/>
    <s v="June"/>
    <s v="Q1"/>
    <s v="2019-20"/>
    <n v="5762"/>
    <n v="5481"/>
    <n v="465"/>
    <n v="428"/>
    <n v="37"/>
    <n v="8.6448598130841123"/>
  </r>
  <r>
    <x v="5"/>
    <s v="BS6 Only"/>
    <s v="July"/>
    <s v="Q2"/>
    <s v="2019-20"/>
    <n v="5145"/>
    <n v="4510"/>
    <n v="461"/>
    <n v="428"/>
    <n v="33"/>
    <n v="7.7102803738317753"/>
  </r>
  <r>
    <x v="5"/>
    <s v="BS6 Only"/>
    <s v="August"/>
    <s v="Q2"/>
    <s v="2019-20"/>
    <n v="5428"/>
    <n v="4990"/>
    <n v="570"/>
    <n v="428"/>
    <n v="142"/>
    <n v="33.177570093457945"/>
  </r>
  <r>
    <x v="5"/>
    <s v="BS6 Only"/>
    <s v="September"/>
    <s v="Q2"/>
    <s v="2019-20"/>
    <n v="5757"/>
    <n v="5291"/>
    <n v="404"/>
    <n v="428"/>
    <n v="-24"/>
    <n v="-5.6074766355140184"/>
  </r>
  <r>
    <x v="5"/>
    <s v="BS6 Only"/>
    <s v="October"/>
    <s v="Q3"/>
    <s v="2019-20"/>
    <n v="5944"/>
    <n v="5792"/>
    <n v="570"/>
    <n v="428"/>
    <n v="142"/>
    <n v="33.177570093457945"/>
  </r>
  <r>
    <x v="5"/>
    <s v="BS6 Only"/>
    <s v="November"/>
    <s v="Q3"/>
    <s v="2019-20"/>
    <n v="5260"/>
    <n v="4566"/>
    <n v="534"/>
    <n v="428"/>
    <n v="106"/>
    <n v="24.766355140186917"/>
  </r>
  <r>
    <x v="5"/>
    <s v="BS6 Only"/>
    <s v="December"/>
    <s v="Q3"/>
    <s v="2019-20"/>
    <n v="6865"/>
    <n v="6146"/>
    <n v="353"/>
    <n v="428"/>
    <n v="-75"/>
    <n v="-17.523364485981308"/>
  </r>
  <r>
    <x v="5"/>
    <s v="BS6 Only"/>
    <s v="January"/>
    <s v="Q4"/>
    <s v="2019-20"/>
    <n v="5629"/>
    <n v="5126"/>
    <n v="404"/>
    <n v="428"/>
    <n v="-24"/>
    <n v="-5.6074766355140184"/>
  </r>
  <r>
    <x v="5"/>
    <s v="BS6 Only"/>
    <s v="February"/>
    <s v="Q4"/>
    <s v="2019-20"/>
    <n v="5584"/>
    <n v="4990"/>
    <n v="508"/>
    <n v="428"/>
    <n v="80"/>
    <n v="18.691588785046729"/>
  </r>
  <r>
    <x v="5"/>
    <s v="BS6 Only"/>
    <s v="March"/>
    <s v="Q4"/>
    <s v="2019-20"/>
    <n v="6229"/>
    <n v="5614"/>
    <n v="436"/>
    <n v="428"/>
    <n v="8"/>
    <n v="1.8691588785046727"/>
  </r>
  <r>
    <x v="5"/>
    <s v="BS6 Only"/>
    <s v="April"/>
    <s v="Q1"/>
    <s v="2020-21"/>
    <n v="5332"/>
    <n v="4861"/>
    <n v="529"/>
    <n v="428"/>
    <n v="101"/>
    <n v="23.598130841121495"/>
  </r>
  <r>
    <x v="5"/>
    <s v="BS6 Only"/>
    <s v="May"/>
    <s v="Q1"/>
    <s v="2020-21"/>
    <n v="5968"/>
    <n v="5868"/>
    <n v="469"/>
    <n v="428"/>
    <n v="41"/>
    <n v="9.5794392523364476"/>
  </r>
  <r>
    <x v="5"/>
    <s v="BS6 Only"/>
    <s v="June"/>
    <s v="Q1"/>
    <s v="2020-21"/>
    <n v="6761"/>
    <n v="5757"/>
    <n v="367"/>
    <n v="428"/>
    <n v="-61"/>
    <n v="-14.252336448598129"/>
  </r>
  <r>
    <x v="5"/>
    <s v="BS6 Only"/>
    <s v="July"/>
    <s v="Q2"/>
    <s v="2020-21"/>
    <n v="6566"/>
    <n v="6325"/>
    <n v="566"/>
    <n v="428"/>
    <n v="138"/>
    <n v="32.242990654205606"/>
  </r>
  <r>
    <x v="5"/>
    <s v="BS6 Only"/>
    <s v="August"/>
    <s v="Q2"/>
    <s v="2020-21"/>
    <n v="6080"/>
    <n v="5586"/>
    <n v="502"/>
    <n v="428"/>
    <n v="74"/>
    <n v="17.289719626168225"/>
  </r>
  <r>
    <x v="5"/>
    <s v="BS6 Only"/>
    <s v="September"/>
    <s v="Q2"/>
    <s v="2020-21"/>
    <n v="5448"/>
    <n v="5004"/>
    <n v="360"/>
    <n v="428"/>
    <n v="-68"/>
    <n v="-15.887850467289718"/>
  </r>
  <r>
    <x v="5"/>
    <s v="BS6 Only"/>
    <s v="October"/>
    <s v="Q3"/>
    <s v="2020-21"/>
    <n v="6410"/>
    <n v="6070"/>
    <n v="492"/>
    <n v="428"/>
    <n v="64"/>
    <n v="14.953271028037381"/>
  </r>
  <r>
    <x v="5"/>
    <s v="BS6 Only"/>
    <s v="November"/>
    <s v="Q3"/>
    <s v="2020-21"/>
    <n v="5630"/>
    <n v="4835"/>
    <n v="408"/>
    <n v="428"/>
    <n v="-20"/>
    <n v="-4.6728971962616823"/>
  </r>
  <r>
    <x v="5"/>
    <s v="BS6 Only"/>
    <s v="December"/>
    <s v="Q3"/>
    <s v="2020-21"/>
    <n v="6832"/>
    <n v="6666"/>
    <n v="531"/>
    <n v="428"/>
    <n v="103"/>
    <n v="24.065420560747665"/>
  </r>
  <r>
    <x v="5"/>
    <s v="BS6 Only"/>
    <s v="January"/>
    <s v="Q4"/>
    <s v="2020-21"/>
    <n v="6440"/>
    <n v="5630"/>
    <n v="441"/>
    <n v="428"/>
    <n v="13"/>
    <n v="3.0373831775700935"/>
  </r>
  <r>
    <x v="5"/>
    <s v="BS6 Only"/>
    <s v="February"/>
    <s v="Q4"/>
    <s v="2020-21"/>
    <n v="5367"/>
    <n v="4985"/>
    <n v="374"/>
    <n v="428"/>
    <n v="-54"/>
    <n v="-12.616822429906541"/>
  </r>
  <r>
    <x v="5"/>
    <s v="BS6 Only"/>
    <s v="March"/>
    <s v="Q4"/>
    <s v="2020-21"/>
    <n v="5865"/>
    <n v="5653"/>
    <n v="341"/>
    <n v="428"/>
    <n v="-87"/>
    <n v="-20.327102803738317"/>
  </r>
  <r>
    <x v="5"/>
    <s v="BS6 Only"/>
    <s v="April"/>
    <s v="Q1"/>
    <s v="2021-22"/>
    <n v="6737"/>
    <n v="6427"/>
    <n v="550"/>
    <n v="428"/>
    <n v="122"/>
    <n v="28.504672897196258"/>
  </r>
  <r>
    <x v="5"/>
    <s v="BS6 Only"/>
    <s v="May"/>
    <s v="Q1"/>
    <s v="2021-22"/>
    <n v="5816"/>
    <n v="5239"/>
    <n v="540"/>
    <n v="428"/>
    <n v="112"/>
    <n v="26.168224299065418"/>
  </r>
  <r>
    <x v="5"/>
    <s v="BS6 Only"/>
    <s v="June"/>
    <s v="Q1"/>
    <s v="2021-22"/>
    <n v="5353"/>
    <n v="4921"/>
    <n v="555"/>
    <n v="428"/>
    <n v="127"/>
    <n v="29.672897196261683"/>
  </r>
  <r>
    <x v="5"/>
    <s v="BS6 Only"/>
    <s v="July"/>
    <s v="Q2"/>
    <s v="2021-22"/>
    <n v="6048"/>
    <n v="5616"/>
    <n v="390"/>
    <n v="428"/>
    <n v="-38"/>
    <n v="-8.8785046728971952"/>
  </r>
  <r>
    <x v="5"/>
    <s v="BS6 Only"/>
    <s v="August"/>
    <s v="Q2"/>
    <s v="2021-22"/>
    <n v="6145"/>
    <n v="5647"/>
    <n v="489"/>
    <n v="428"/>
    <n v="61"/>
    <n v="14.25233644859812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4">
  <r>
    <s v="Gear Assembly 1 (BS4)"/>
    <s v="BS4 Only"/>
    <s v="April"/>
    <s v="Q1"/>
    <s v="2019-20"/>
    <n v="6336"/>
    <n v="5600"/>
    <n v="432"/>
    <n v="400"/>
    <n v="32"/>
    <n v="8"/>
    <x v="0"/>
    <n v="736"/>
  </r>
  <r>
    <s v="Gear Assembly 1 (BS4)"/>
    <s v="BS4 Only"/>
    <s v="May"/>
    <s v="Q1"/>
    <s v="2019-20"/>
    <n v="5686"/>
    <n v="5523"/>
    <n v="433"/>
    <n v="400"/>
    <n v="33"/>
    <n v="8.25"/>
    <x v="0"/>
    <n v="163"/>
  </r>
  <r>
    <s v="Gear Assembly 1 (BS4)"/>
    <s v="BS4 Only"/>
    <s v="June"/>
    <s v="Q1"/>
    <s v="2019-20"/>
    <n v="6614"/>
    <n v="5726"/>
    <n v="498"/>
    <n v="400"/>
    <n v="98"/>
    <n v="24.5"/>
    <x v="0"/>
    <n v="888"/>
  </r>
  <r>
    <s v="Gear Assembly 1 (BS4)"/>
    <s v="BS4 Only"/>
    <s v="July"/>
    <s v="Q2"/>
    <s v="2019-20"/>
    <n v="5470"/>
    <n v="4916"/>
    <n v="539"/>
    <n v="400"/>
    <n v="139"/>
    <n v="34.75"/>
    <x v="1"/>
    <n v="554"/>
  </r>
  <r>
    <s v="Gear Assembly 1 (BS4)"/>
    <s v="BS4 Only"/>
    <s v="August"/>
    <s v="Q2"/>
    <s v="2019-20"/>
    <n v="6496"/>
    <n v="6089"/>
    <n v="463"/>
    <n v="400"/>
    <n v="63"/>
    <n v="15.75"/>
    <x v="1"/>
    <n v="407"/>
  </r>
  <r>
    <s v="Gear Assembly 1 (BS4)"/>
    <s v="BS4 Only"/>
    <s v="September"/>
    <s v="Q2"/>
    <s v="2019-20"/>
    <n v="5306"/>
    <n v="5032"/>
    <n v="463"/>
    <n v="400"/>
    <n v="63"/>
    <n v="15.75"/>
    <x v="1"/>
    <n v="274"/>
  </r>
  <r>
    <s v="Gear Assembly 1 (BS4)"/>
    <s v="BS4 Only"/>
    <s v="October"/>
    <s v="Q3"/>
    <s v="2019-20"/>
    <n v="5725"/>
    <n v="5478"/>
    <n v="328"/>
    <n v="400"/>
    <n v="-72"/>
    <n v="-18"/>
    <x v="2"/>
    <n v="247"/>
  </r>
  <r>
    <s v="Gear Assembly 1 (BS4)"/>
    <s v="BS4 Only"/>
    <s v="November"/>
    <s v="Q3"/>
    <s v="2019-20"/>
    <n v="5717"/>
    <n v="5675"/>
    <n v="408"/>
    <n v="400"/>
    <n v="8"/>
    <n v="2"/>
    <x v="2"/>
    <n v="42"/>
  </r>
  <r>
    <s v="Gear Assembly 1 (BS4)"/>
    <s v="BS4 Only"/>
    <s v="December"/>
    <s v="Q3"/>
    <s v="2019-20"/>
    <n v="6043"/>
    <n v="5489"/>
    <n v="341"/>
    <n v="400"/>
    <n v="-59"/>
    <n v="-14.75"/>
    <x v="2"/>
    <n v="554"/>
  </r>
  <r>
    <s v="Gear Assembly 1 (BS4)"/>
    <s v="BS4 Only"/>
    <s v="January"/>
    <s v="Q4"/>
    <s v="2019-20"/>
    <n v="6454"/>
    <n v="5869"/>
    <n v="527"/>
    <n v="400"/>
    <n v="127"/>
    <n v="31.75"/>
    <x v="3"/>
    <n v="585"/>
  </r>
  <r>
    <s v="Gear Assembly 1 (BS4)"/>
    <s v="BS4 Only"/>
    <s v="February"/>
    <s v="Q4"/>
    <s v="2019-20"/>
    <n v="6747"/>
    <n v="6019"/>
    <n v="448"/>
    <n v="400"/>
    <n v="48"/>
    <n v="12"/>
    <x v="3"/>
    <n v="728"/>
  </r>
  <r>
    <s v="Gear Assembly 1 (BS4)"/>
    <s v="BS4 Only"/>
    <s v="March"/>
    <s v="Q4"/>
    <s v="2019-20"/>
    <n v="6690"/>
    <n v="6225"/>
    <n v="404"/>
    <n v="400"/>
    <n v="4"/>
    <n v="1"/>
    <x v="3"/>
    <n v="465"/>
  </r>
  <r>
    <s v="Gear Assembly 1 (BS4)"/>
    <s v="BS4 Only"/>
    <s v="April"/>
    <s v="Q1"/>
    <s v="2020-21"/>
    <n v="5232"/>
    <n v="4858"/>
    <n v="492"/>
    <n v="400"/>
    <n v="92"/>
    <n v="23"/>
    <x v="4"/>
    <n v="374"/>
  </r>
  <r>
    <s v="Gear Assembly 1 (BS4)"/>
    <s v="BS4 Only"/>
    <s v="May"/>
    <s v="Q1"/>
    <s v="2020-21"/>
    <n v="6139"/>
    <n v="5419"/>
    <n v="461"/>
    <n v="400"/>
    <n v="61"/>
    <n v="15.25"/>
    <x v="4"/>
    <n v="720"/>
  </r>
  <r>
    <s v="Gear Assembly 1 (BS4)"/>
    <s v="BS4 Only"/>
    <s v="June"/>
    <s v="Q1"/>
    <s v="2020-21"/>
    <n v="5392"/>
    <n v="4768"/>
    <n v="562"/>
    <n v="400"/>
    <n v="162"/>
    <n v="40.5"/>
    <x v="4"/>
    <n v="624"/>
  </r>
  <r>
    <s v="Gear Assembly 1 (BS4)"/>
    <s v="BS4 Only"/>
    <s v="July"/>
    <s v="Q2"/>
    <s v="2020-21"/>
    <n v="6208"/>
    <n v="5868"/>
    <n v="367"/>
    <n v="400"/>
    <n v="-33"/>
    <n v="-8.25"/>
    <x v="5"/>
    <n v="340"/>
  </r>
  <r>
    <s v="Gear Assembly 1 (BS4)"/>
    <s v="BS4 Only"/>
    <s v="August"/>
    <s v="Q2"/>
    <s v="2020-21"/>
    <n v="6567"/>
    <n v="5966"/>
    <n v="341"/>
    <n v="400"/>
    <n v="-59"/>
    <n v="-14.75"/>
    <x v="5"/>
    <n v="601"/>
  </r>
  <r>
    <s v="Gear Assembly 1 (BS4)"/>
    <s v="BS4 Only"/>
    <s v="September"/>
    <s v="Q2"/>
    <s v="2020-21"/>
    <n v="6063"/>
    <n v="5849"/>
    <n v="525"/>
    <n v="400"/>
    <n v="125"/>
    <n v="31.25"/>
    <x v="5"/>
    <n v="214"/>
  </r>
  <r>
    <s v="Gear Assembly 1 (BS4)"/>
    <s v="BS4 Only"/>
    <s v="October"/>
    <s v="Q3"/>
    <s v="2020-21"/>
    <n v="6311"/>
    <n v="6254"/>
    <n v="419"/>
    <n v="400"/>
    <n v="19"/>
    <n v="4.75"/>
    <x v="6"/>
    <n v="57"/>
  </r>
  <r>
    <s v="Gear Assembly 1 (BS4)"/>
    <s v="BS4 Only"/>
    <s v="November"/>
    <s v="Q3"/>
    <s v="2020-21"/>
    <n v="5220"/>
    <n v="5082"/>
    <n v="524"/>
    <n v="400"/>
    <n v="124"/>
    <n v="31"/>
    <x v="6"/>
    <n v="138"/>
  </r>
  <r>
    <s v="Gear Assembly 1 (BS4)"/>
    <s v="BS4 Only"/>
    <s v="December"/>
    <s v="Q3"/>
    <s v="2020-21"/>
    <n v="5626"/>
    <n v="5190"/>
    <n v="461"/>
    <n v="400"/>
    <n v="61"/>
    <n v="15.25"/>
    <x v="6"/>
    <n v="436"/>
  </r>
  <r>
    <s v="Gear Assembly 1 (BS4)"/>
    <s v="BS4 Only"/>
    <s v="January"/>
    <s v="Q4"/>
    <s v="2020-21"/>
    <n v="5832"/>
    <n v="5270"/>
    <n v="381"/>
    <n v="400"/>
    <n v="-19"/>
    <n v="-4.75"/>
    <x v="7"/>
    <n v="562"/>
  </r>
  <r>
    <s v="Gear Assembly 1 (BS4)"/>
    <s v="BS4 Only"/>
    <s v="February"/>
    <s v="Q4"/>
    <s v="2020-21"/>
    <n v="5592"/>
    <n v="5241"/>
    <n v="424"/>
    <n v="400"/>
    <n v="24"/>
    <n v="6"/>
    <x v="7"/>
    <n v="351"/>
  </r>
  <r>
    <s v="Gear Assembly 1 (BS4)"/>
    <s v="BS4 Only"/>
    <s v="March"/>
    <s v="Q4"/>
    <s v="2020-21"/>
    <n v="5737"/>
    <n v="5268"/>
    <n v="378"/>
    <n v="400"/>
    <n v="-22"/>
    <n v="-5.5"/>
    <x v="7"/>
    <n v="469"/>
  </r>
  <r>
    <s v="Gear Assembly 1 (BS4)"/>
    <s v="BS4 Only"/>
    <s v="April"/>
    <s v="Q1"/>
    <s v="2021-22"/>
    <n v="5465"/>
    <n v="4825"/>
    <n v="556"/>
    <n v="400"/>
    <n v="156"/>
    <n v="39"/>
    <x v="8"/>
    <n v="640"/>
  </r>
  <r>
    <s v="Gear Assembly 1 (BS4)"/>
    <s v="BS4 Only"/>
    <s v="May"/>
    <s v="Q1"/>
    <s v="2021-22"/>
    <n v="5689"/>
    <n v="5340"/>
    <n v="433"/>
    <n v="400"/>
    <n v="33"/>
    <n v="8.25"/>
    <x v="8"/>
    <n v="349"/>
  </r>
  <r>
    <s v="Gear Assembly 1 (BS4)"/>
    <s v="BS4 Only"/>
    <s v="June"/>
    <s v="Q1"/>
    <s v="2021-22"/>
    <n v="5752"/>
    <n v="5197"/>
    <n v="530"/>
    <n v="400"/>
    <n v="130"/>
    <n v="32.5"/>
    <x v="8"/>
    <n v="555"/>
  </r>
  <r>
    <s v="Gear Assembly 1 (BS4)"/>
    <s v="BS4 Only"/>
    <s v="July"/>
    <s v="Q2"/>
    <s v="2021-22"/>
    <n v="6668"/>
    <n v="6061"/>
    <n v="452"/>
    <n v="400"/>
    <n v="52"/>
    <n v="13"/>
    <x v="9"/>
    <n v="607"/>
  </r>
  <r>
    <s v="Gear Assembly 1 (BS4)"/>
    <s v="BS4 Only"/>
    <s v="August"/>
    <s v="Q2"/>
    <s v="2021-22"/>
    <n v="5889"/>
    <n v="5316"/>
    <n v="452"/>
    <n v="400"/>
    <n v="52"/>
    <n v="13"/>
    <x v="9"/>
    <n v="573"/>
  </r>
  <r>
    <s v="Gear Assembly 2 (BS4)"/>
    <s v="BS4 Only"/>
    <s v="April"/>
    <s v="Q1"/>
    <s v="2019-20"/>
    <n v="6348"/>
    <n v="6003"/>
    <n v="347"/>
    <n v="334"/>
    <n v="13"/>
    <n v="3.8922155688622757"/>
    <x v="0"/>
    <n v="345"/>
  </r>
  <r>
    <s v="Gear Assembly 2 (BS4)"/>
    <s v="BS4 Only"/>
    <s v="May"/>
    <s v="Q1"/>
    <s v="2019-20"/>
    <n v="5972"/>
    <n v="5871"/>
    <n v="396"/>
    <n v="334"/>
    <n v="62"/>
    <n v="18.562874251497004"/>
    <x v="0"/>
    <n v="101"/>
  </r>
  <r>
    <s v="Gear Assembly 2 (BS4)"/>
    <s v="BS4 Only"/>
    <s v="June"/>
    <s v="Q1"/>
    <s v="2019-20"/>
    <n v="5866"/>
    <n v="5226"/>
    <n v="364"/>
    <n v="334"/>
    <n v="30"/>
    <n v="8.9820359281437128"/>
    <x v="0"/>
    <n v="640"/>
  </r>
  <r>
    <s v="Gear Assembly 2 (BS4)"/>
    <s v="BS4 Only"/>
    <s v="July"/>
    <s v="Q2"/>
    <s v="2019-20"/>
    <n v="6385"/>
    <n v="5861"/>
    <n v="540"/>
    <n v="334"/>
    <n v="206"/>
    <n v="61.676646706586823"/>
    <x v="1"/>
    <n v="524"/>
  </r>
  <r>
    <s v="Gear Assembly 2 (BS4)"/>
    <s v="BS4 Only"/>
    <s v="August"/>
    <s v="Q2"/>
    <s v="2019-20"/>
    <n v="5165"/>
    <n v="4662"/>
    <n v="513"/>
    <n v="334"/>
    <n v="179"/>
    <n v="53.592814371257482"/>
    <x v="1"/>
    <n v="503"/>
  </r>
  <r>
    <s v="Gear Assembly 2 (BS4)"/>
    <s v="BS4 Only"/>
    <s v="September"/>
    <s v="Q2"/>
    <s v="2019-20"/>
    <n v="6820"/>
    <n v="6405"/>
    <n v="498"/>
    <n v="334"/>
    <n v="164"/>
    <n v="49.101796407185624"/>
    <x v="1"/>
    <n v="415"/>
  </r>
  <r>
    <s v="Gear Assembly 2 (BS4)"/>
    <s v="BS4 Only"/>
    <s v="October"/>
    <s v="Q3"/>
    <s v="2019-20"/>
    <n v="5827"/>
    <n v="5890"/>
    <n v="562"/>
    <n v="334"/>
    <n v="228"/>
    <n v="68.263473053892227"/>
    <x v="2"/>
    <n v="-63"/>
  </r>
  <r>
    <s v="Gear Assembly 2 (BS4)"/>
    <s v="BS4 Only"/>
    <s v="November"/>
    <s v="Q3"/>
    <s v="2019-20"/>
    <n v="6533"/>
    <n v="5944"/>
    <n v="475"/>
    <n v="334"/>
    <n v="141"/>
    <n v="42.215568862275447"/>
    <x v="2"/>
    <n v="589"/>
  </r>
  <r>
    <s v="Gear Assembly 2 (BS4)"/>
    <s v="BS4 Only"/>
    <s v="December"/>
    <s v="Q3"/>
    <s v="2019-20"/>
    <n v="5685"/>
    <n v="5376"/>
    <n v="371"/>
    <n v="334"/>
    <n v="37"/>
    <n v="11.077844311377245"/>
    <x v="2"/>
    <n v="309"/>
  </r>
  <r>
    <s v="Gear Assembly 2 (BS4)"/>
    <s v="BS4 Only"/>
    <s v="January"/>
    <s v="Q4"/>
    <s v="2019-20"/>
    <n v="6781"/>
    <n v="6608"/>
    <n v="360"/>
    <n v="334"/>
    <n v="26"/>
    <n v="7.7844311377245514"/>
    <x v="3"/>
    <n v="173"/>
  </r>
  <r>
    <s v="Gear Assembly 2 (BS4)"/>
    <s v="BS4 Only"/>
    <s v="February"/>
    <s v="Q4"/>
    <s v="2019-20"/>
    <n v="5535"/>
    <n v="5088"/>
    <n v="404"/>
    <n v="334"/>
    <n v="70"/>
    <n v="20.958083832335326"/>
    <x v="3"/>
    <n v="447"/>
  </r>
  <r>
    <s v="Gear Assembly 2 (BS4)"/>
    <s v="BS4 Only"/>
    <s v="March"/>
    <s v="Q4"/>
    <s v="2019-20"/>
    <n v="6222"/>
    <n v="5548"/>
    <n v="372"/>
    <n v="334"/>
    <n v="38"/>
    <n v="11.377245508982035"/>
    <x v="3"/>
    <n v="674"/>
  </r>
  <r>
    <s v="Gear Assembly 2 (BS4)"/>
    <s v="BS4 Only"/>
    <s v="April"/>
    <s v="Q1"/>
    <s v="2020-21"/>
    <n v="6713"/>
    <n v="6013"/>
    <n v="435"/>
    <n v="334"/>
    <n v="101"/>
    <n v="30.239520958083833"/>
    <x v="4"/>
    <n v="700"/>
  </r>
  <r>
    <s v="Gear Assembly 2 (BS4)"/>
    <s v="BS4 Only"/>
    <s v="May"/>
    <s v="Q1"/>
    <s v="2020-21"/>
    <n v="6675"/>
    <n v="6092"/>
    <n v="341"/>
    <n v="334"/>
    <n v="7"/>
    <n v="2.0958083832335328"/>
    <x v="4"/>
    <n v="583"/>
  </r>
  <r>
    <s v="Gear Assembly 2 (BS4)"/>
    <s v="BS4 Only"/>
    <s v="June"/>
    <s v="Q1"/>
    <s v="2020-21"/>
    <n v="6186"/>
    <n v="5729"/>
    <n v="488"/>
    <n v="334"/>
    <n v="154"/>
    <n v="46.107784431137731"/>
    <x v="4"/>
    <n v="457"/>
  </r>
  <r>
    <s v="Gear Assembly 2 (BS4)"/>
    <s v="BS4 Only"/>
    <s v="July"/>
    <s v="Q2"/>
    <s v="2020-21"/>
    <n v="5038"/>
    <n v="4538"/>
    <n v="452"/>
    <n v="334"/>
    <n v="118"/>
    <n v="35.32934131736527"/>
    <x v="5"/>
    <n v="500"/>
  </r>
  <r>
    <s v="Gear Assembly 2 (BS4)"/>
    <s v="BS4 Only"/>
    <s v="August"/>
    <s v="Q2"/>
    <s v="2020-21"/>
    <n v="6074"/>
    <n v="5227"/>
    <n v="392"/>
    <n v="334"/>
    <n v="58"/>
    <n v="17.365269461077844"/>
    <x v="5"/>
    <n v="847"/>
  </r>
  <r>
    <s v="Gear Assembly 2 (BS4)"/>
    <s v="BS4 Only"/>
    <s v="September"/>
    <s v="Q2"/>
    <s v="2020-21"/>
    <n v="5891"/>
    <n v="5167"/>
    <n v="524"/>
    <n v="334"/>
    <n v="190"/>
    <n v="56.886227544910184"/>
    <x v="5"/>
    <n v="724"/>
  </r>
  <r>
    <s v="Gear Assembly 2 (BS4)"/>
    <s v="BS4 Only"/>
    <s v="October"/>
    <s v="Q3"/>
    <s v="2020-21"/>
    <n v="6725"/>
    <n v="6192"/>
    <n v="368"/>
    <n v="334"/>
    <n v="34"/>
    <n v="10.179640718562874"/>
    <x v="6"/>
    <n v="533"/>
  </r>
  <r>
    <s v="Gear Assembly 2 (BS4)"/>
    <s v="BS4 Only"/>
    <s v="November"/>
    <s v="Q3"/>
    <s v="2020-21"/>
    <n v="5779"/>
    <n v="4959"/>
    <n v="546"/>
    <n v="334"/>
    <n v="212"/>
    <n v="63.473053892215567"/>
    <x v="6"/>
    <n v="820"/>
  </r>
  <r>
    <s v="Gear Assembly 2 (BS4)"/>
    <s v="BS4 Only"/>
    <s v="December"/>
    <s v="Q3"/>
    <s v="2020-21"/>
    <n v="5853"/>
    <n v="5544"/>
    <n v="522"/>
    <n v="334"/>
    <n v="188"/>
    <n v="56.287425149700596"/>
    <x v="6"/>
    <n v="309"/>
  </r>
  <r>
    <s v="Gear Assembly 2 (BS4)"/>
    <s v="BS4 Only"/>
    <s v="January"/>
    <s v="Q4"/>
    <s v="2020-21"/>
    <n v="6007"/>
    <n v="5509"/>
    <n v="400"/>
    <n v="334"/>
    <n v="66"/>
    <n v="19.760479041916167"/>
    <x v="7"/>
    <n v="498"/>
  </r>
  <r>
    <s v="Gear Assembly 2 (BS4)"/>
    <s v="BS4 Only"/>
    <s v="February"/>
    <s v="Q4"/>
    <s v="2020-21"/>
    <n v="5907"/>
    <n v="5331"/>
    <n v="517"/>
    <n v="334"/>
    <n v="183"/>
    <n v="54.790419161676652"/>
    <x v="7"/>
    <n v="576"/>
  </r>
  <r>
    <s v="Gear Assembly 2 (BS4)"/>
    <s v="BS4 Only"/>
    <s v="March"/>
    <s v="Q4"/>
    <s v="2020-21"/>
    <n v="6745"/>
    <n v="6331"/>
    <n v="527"/>
    <n v="334"/>
    <n v="193"/>
    <n v="57.784431137724546"/>
    <x v="7"/>
    <n v="414"/>
  </r>
  <r>
    <s v="Gear Assembly 2 (BS4)"/>
    <s v="BS4 Only"/>
    <s v="April"/>
    <s v="Q1"/>
    <s v="2021-22"/>
    <n v="5724"/>
    <n v="5163"/>
    <n v="551"/>
    <n v="334"/>
    <n v="217"/>
    <n v="64.970059880239518"/>
    <x v="8"/>
    <n v="561"/>
  </r>
  <r>
    <s v="Gear Assembly 2 (BS4)"/>
    <s v="BS4 Only"/>
    <s v="May"/>
    <s v="Q1"/>
    <s v="2021-22"/>
    <n v="5661"/>
    <n v="5250"/>
    <n v="516"/>
    <n v="334"/>
    <n v="182"/>
    <n v="54.491017964071851"/>
    <x v="8"/>
    <n v="411"/>
  </r>
  <r>
    <s v="Gear Assembly 2 (BS4)"/>
    <s v="BS4 Only"/>
    <s v="June"/>
    <s v="Q1"/>
    <s v="2021-22"/>
    <n v="6470"/>
    <n v="5716"/>
    <n v="489"/>
    <n v="334"/>
    <n v="155"/>
    <n v="46.407185628742518"/>
    <x v="8"/>
    <n v="754"/>
  </r>
  <r>
    <s v="Gear Assembly 2 (BS4)"/>
    <s v="BS4 Only"/>
    <s v="July"/>
    <s v="Q2"/>
    <s v="2021-22"/>
    <n v="6069"/>
    <n v="5523"/>
    <n v="539"/>
    <n v="334"/>
    <n v="205"/>
    <n v="61.377245508982035"/>
    <x v="9"/>
    <n v="546"/>
  </r>
  <r>
    <s v="Gear Assembly 2 (BS4)"/>
    <s v="BS4 Only"/>
    <s v="August"/>
    <s v="Q2"/>
    <s v="2021-22"/>
    <n v="6166"/>
    <n v="5357"/>
    <n v="469"/>
    <n v="334"/>
    <n v="135"/>
    <n v="40.419161676646709"/>
    <x v="9"/>
    <n v="809"/>
  </r>
  <r>
    <s v="Gear Assembly 3 (BS4/6)"/>
    <s v="Combination"/>
    <s v="April"/>
    <s v="Q1"/>
    <s v="2019-20"/>
    <n v="6505"/>
    <n v="5858"/>
    <n v="364"/>
    <n v="455"/>
    <n v="-91"/>
    <n v="-20"/>
    <x v="0"/>
    <n v="647"/>
  </r>
  <r>
    <s v="Gear Assembly 3 (BS4/6)"/>
    <s v="Combination"/>
    <s v="May"/>
    <s v="Q1"/>
    <s v="2019-20"/>
    <n v="5147"/>
    <n v="4816"/>
    <n v="357"/>
    <n v="455"/>
    <n v="-98"/>
    <n v="-21.53846153846154"/>
    <x v="0"/>
    <n v="331"/>
  </r>
  <r>
    <s v="Gear Assembly 3 (BS4/6)"/>
    <s v="Combination"/>
    <s v="June"/>
    <s v="Q1"/>
    <s v="2019-20"/>
    <n v="5722"/>
    <n v="5059"/>
    <n v="386"/>
    <n v="455"/>
    <n v="-69"/>
    <n v="-15.164835164835164"/>
    <x v="0"/>
    <n v="663"/>
  </r>
  <r>
    <s v="Gear Assembly 3 (BS4/6)"/>
    <s v="Combination"/>
    <s v="July"/>
    <s v="Q2"/>
    <s v="2019-20"/>
    <n v="6285"/>
    <n v="5601"/>
    <n v="493"/>
    <n v="455"/>
    <n v="38"/>
    <n v="8.3516483516483504"/>
    <x v="1"/>
    <n v="684"/>
  </r>
  <r>
    <s v="Gear Assembly 3 (BS4/6)"/>
    <s v="Combination"/>
    <s v="August"/>
    <s v="Q2"/>
    <s v="2019-20"/>
    <n v="6087"/>
    <n v="5937"/>
    <n v="560"/>
    <n v="455"/>
    <n v="105"/>
    <n v="23.076923076923077"/>
    <x v="1"/>
    <n v="150"/>
  </r>
  <r>
    <s v="Gear Assembly 3 (BS4/6)"/>
    <s v="Combination"/>
    <s v="September"/>
    <s v="Q2"/>
    <s v="2019-20"/>
    <n v="5506"/>
    <n v="5222"/>
    <n v="498"/>
    <n v="455"/>
    <n v="43"/>
    <n v="9.4505494505494507"/>
    <x v="1"/>
    <n v="284"/>
  </r>
  <r>
    <s v="Gear Assembly 3 (BS4/6)"/>
    <s v="Combination"/>
    <s v="October"/>
    <s v="Q3"/>
    <s v="2019-20"/>
    <n v="6341"/>
    <n v="5844"/>
    <n v="448"/>
    <n v="455"/>
    <n v="-7"/>
    <n v="-1.5384615384615385"/>
    <x v="2"/>
    <n v="497"/>
  </r>
  <r>
    <s v="Gear Assembly 3 (BS4/6)"/>
    <s v="Combination"/>
    <s v="November"/>
    <s v="Q3"/>
    <s v="2019-20"/>
    <n v="5442"/>
    <n v="5154"/>
    <n v="415"/>
    <n v="455"/>
    <n v="-40"/>
    <n v="-8.791208791208792"/>
    <x v="2"/>
    <n v="288"/>
  </r>
  <r>
    <s v="Gear Assembly 3 (BS4/6)"/>
    <s v="Combination"/>
    <s v="December"/>
    <s v="Q3"/>
    <s v="2019-20"/>
    <n v="5472"/>
    <n v="4824"/>
    <n v="484"/>
    <n v="455"/>
    <n v="29"/>
    <n v="6.3736263736263732"/>
    <x v="2"/>
    <n v="648"/>
  </r>
  <r>
    <s v="Gear Assembly 3 (BS4/6)"/>
    <s v="Combination"/>
    <s v="January"/>
    <s v="Q4"/>
    <s v="2019-20"/>
    <n v="5890"/>
    <n v="5165"/>
    <n v="372"/>
    <n v="455"/>
    <n v="-83"/>
    <n v="-18.241758241758241"/>
    <x v="3"/>
    <n v="725"/>
  </r>
  <r>
    <s v="Gear Assembly 3 (BS4/6)"/>
    <s v="Combination"/>
    <s v="February"/>
    <s v="Q4"/>
    <s v="2019-20"/>
    <n v="5481"/>
    <n v="4792"/>
    <n v="334"/>
    <n v="455"/>
    <n v="-121"/>
    <n v="-26.593406593406595"/>
    <x v="3"/>
    <n v="689"/>
  </r>
  <r>
    <s v="Gear Assembly 3 (BS4/6)"/>
    <s v="Combination"/>
    <s v="March"/>
    <s v="Q4"/>
    <s v="2019-20"/>
    <n v="5281"/>
    <n v="5338"/>
    <n v="338"/>
    <n v="455"/>
    <n v="-117"/>
    <n v="-25.714285714285712"/>
    <x v="3"/>
    <n v="-57"/>
  </r>
  <r>
    <s v="Gear Assembly 3 (BS4/6)"/>
    <s v="Combination"/>
    <s v="April"/>
    <s v="Q1"/>
    <s v="2020-21"/>
    <n v="5989"/>
    <n v="5773"/>
    <n v="461"/>
    <n v="455"/>
    <n v="6"/>
    <n v="1.3186813186813187"/>
    <x v="4"/>
    <n v="216"/>
  </r>
  <r>
    <s v="Gear Assembly 3 (BS4/6)"/>
    <s v="Combination"/>
    <s v="May"/>
    <s v="Q1"/>
    <s v="2020-21"/>
    <n v="6232"/>
    <n v="5440"/>
    <n v="532"/>
    <n v="455"/>
    <n v="77"/>
    <n v="16.923076923076923"/>
    <x v="4"/>
    <n v="792"/>
  </r>
  <r>
    <s v="Gear Assembly 3 (BS4/6)"/>
    <s v="Combination"/>
    <s v="June"/>
    <s v="Q1"/>
    <s v="2020-21"/>
    <n v="6724"/>
    <n v="5949"/>
    <n v="454"/>
    <n v="455"/>
    <n v="-1"/>
    <n v="-0.21978021978021978"/>
    <x v="4"/>
    <n v="775"/>
  </r>
  <r>
    <s v="Gear Assembly 3 (BS4/6)"/>
    <s v="Combination"/>
    <s v="July"/>
    <s v="Q2"/>
    <s v="2020-21"/>
    <n v="6653"/>
    <n v="6167"/>
    <n v="545"/>
    <n v="455"/>
    <n v="90"/>
    <n v="19.780219780219781"/>
    <x v="5"/>
    <n v="486"/>
  </r>
  <r>
    <s v="Gear Assembly 3 (BS4/6)"/>
    <s v="Combination"/>
    <s v="August"/>
    <s v="Q2"/>
    <s v="2020-21"/>
    <n v="5410"/>
    <n v="5053"/>
    <n v="411"/>
    <n v="455"/>
    <n v="-44"/>
    <n v="-9.6703296703296715"/>
    <x v="5"/>
    <n v="357"/>
  </r>
  <r>
    <s v="Gear Assembly 3 (BS4/6)"/>
    <s v="Combination"/>
    <s v="September"/>
    <s v="Q2"/>
    <s v="2020-21"/>
    <n v="5322"/>
    <n v="4954"/>
    <n v="502"/>
    <n v="455"/>
    <n v="47"/>
    <n v="10.329670329670328"/>
    <x v="5"/>
    <n v="368"/>
  </r>
  <r>
    <s v="Gear Assembly 3 (BS4/6)"/>
    <s v="Combination"/>
    <s v="October"/>
    <s v="Q3"/>
    <s v="2020-21"/>
    <n v="6647"/>
    <n v="6408"/>
    <n v="431"/>
    <n v="455"/>
    <n v="-24"/>
    <n v="-5.2747252747252746"/>
    <x v="6"/>
    <n v="239"/>
  </r>
  <r>
    <s v="Gear Assembly 3 (BS4/6)"/>
    <s v="Combination"/>
    <s v="November"/>
    <s v="Q3"/>
    <s v="2020-21"/>
    <n v="5170"/>
    <n v="5123"/>
    <n v="540"/>
    <n v="455"/>
    <n v="85"/>
    <n v="18.681318681318682"/>
    <x v="6"/>
    <n v="47"/>
  </r>
  <r>
    <s v="Gear Assembly 3 (BS4/6)"/>
    <s v="Combination"/>
    <s v="December"/>
    <s v="Q3"/>
    <s v="2020-21"/>
    <n v="5227"/>
    <n v="4954"/>
    <n v="551"/>
    <n v="455"/>
    <n v="96"/>
    <n v="21.098901098901099"/>
    <x v="6"/>
    <n v="273"/>
  </r>
  <r>
    <s v="Gear Assembly 3 (BS4/6)"/>
    <s v="Combination"/>
    <s v="January"/>
    <s v="Q4"/>
    <s v="2020-21"/>
    <n v="5232"/>
    <n v="5141"/>
    <n v="513"/>
    <n v="455"/>
    <n v="58"/>
    <n v="12.747252747252746"/>
    <x v="7"/>
    <n v="91"/>
  </r>
  <r>
    <s v="Gear Assembly 3 (BS4/6)"/>
    <s v="Combination"/>
    <s v="February"/>
    <s v="Q4"/>
    <s v="2020-21"/>
    <n v="6726"/>
    <n v="6618"/>
    <n v="428"/>
    <n v="455"/>
    <n v="-27"/>
    <n v="-5.9340659340659334"/>
    <x v="7"/>
    <n v="108"/>
  </r>
  <r>
    <s v="Gear Assembly 3 (BS4/6)"/>
    <s v="Combination"/>
    <s v="March"/>
    <s v="Q4"/>
    <s v="2020-21"/>
    <n v="6450"/>
    <n v="5661"/>
    <n v="513"/>
    <n v="455"/>
    <n v="58"/>
    <n v="12.747252747252746"/>
    <x v="7"/>
    <n v="789"/>
  </r>
  <r>
    <s v="Gear Assembly 3 (BS4/6)"/>
    <s v="Combination"/>
    <s v="April"/>
    <s v="Q1"/>
    <s v="2021-22"/>
    <n v="6250"/>
    <n v="5622"/>
    <n v="531"/>
    <n v="455"/>
    <n v="76"/>
    <n v="16.703296703296701"/>
    <x v="8"/>
    <n v="628"/>
  </r>
  <r>
    <s v="Gear Assembly 3 (BS4/6)"/>
    <s v="Combination"/>
    <s v="May"/>
    <s v="Q1"/>
    <s v="2021-22"/>
    <n v="5075"/>
    <n v="4985"/>
    <n v="388"/>
    <n v="455"/>
    <n v="-67"/>
    <n v="-14.725274725274726"/>
    <x v="8"/>
    <n v="90"/>
  </r>
  <r>
    <s v="Gear Assembly 3 (BS4/6)"/>
    <s v="Combination"/>
    <s v="June"/>
    <s v="Q1"/>
    <s v="2021-22"/>
    <n v="5267"/>
    <n v="4797"/>
    <n v="454"/>
    <n v="455"/>
    <n v="-1"/>
    <n v="-0.21978021978021978"/>
    <x v="8"/>
    <n v="470"/>
  </r>
  <r>
    <s v="Gear Assembly 3 (BS4/6)"/>
    <s v="Combination"/>
    <s v="July"/>
    <s v="Q2"/>
    <s v="2021-22"/>
    <n v="5673"/>
    <n v="5112"/>
    <n v="499"/>
    <n v="455"/>
    <n v="44"/>
    <n v="9.6703296703296715"/>
    <x v="9"/>
    <n v="561"/>
  </r>
  <r>
    <s v="Gear Assembly 3 (BS4/6)"/>
    <s v="Combination"/>
    <s v="August"/>
    <s v="Q2"/>
    <s v="2021-22"/>
    <n v="6151"/>
    <n v="5820"/>
    <n v="423"/>
    <n v="455"/>
    <n v="-32"/>
    <n v="-7.0329670329670328"/>
    <x v="9"/>
    <n v="331"/>
  </r>
  <r>
    <s v="Gear Assembly 4 (BS4/6)"/>
    <s v="Combination"/>
    <s v="April"/>
    <s v="Q1"/>
    <s v="2019-20"/>
    <n v="5935"/>
    <n v="5353"/>
    <n v="424"/>
    <n v="379"/>
    <n v="45"/>
    <n v="11.87335092348285"/>
    <x v="0"/>
    <n v="582"/>
  </r>
  <r>
    <s v="Gear Assembly 4 (BS4/6)"/>
    <s v="Combination"/>
    <s v="May"/>
    <s v="Q1"/>
    <s v="2019-20"/>
    <n v="6126"/>
    <n v="5908"/>
    <n v="420"/>
    <n v="379"/>
    <n v="41"/>
    <n v="10.817941952506596"/>
    <x v="0"/>
    <n v="218"/>
  </r>
  <r>
    <s v="Gear Assembly 4 (BS4/6)"/>
    <s v="Combination"/>
    <s v="June"/>
    <s v="Q1"/>
    <s v="2019-20"/>
    <n v="5985"/>
    <n v="5392"/>
    <n v="419"/>
    <n v="379"/>
    <n v="40"/>
    <n v="10.554089709762533"/>
    <x v="0"/>
    <n v="593"/>
  </r>
  <r>
    <s v="Gear Assembly 4 (BS4/6)"/>
    <s v="Combination"/>
    <s v="July"/>
    <s v="Q2"/>
    <s v="2019-20"/>
    <n v="6015"/>
    <n v="5623"/>
    <n v="565"/>
    <n v="379"/>
    <n v="186"/>
    <n v="49.076517150395773"/>
    <x v="1"/>
    <n v="392"/>
  </r>
  <r>
    <s v="Gear Assembly 4 (BS4/6)"/>
    <s v="Combination"/>
    <s v="August"/>
    <s v="Q2"/>
    <s v="2019-20"/>
    <n v="5124"/>
    <n v="4615"/>
    <n v="452"/>
    <n v="379"/>
    <n v="73"/>
    <n v="19.261213720316622"/>
    <x v="1"/>
    <n v="509"/>
  </r>
  <r>
    <s v="Gear Assembly 4 (BS4/6)"/>
    <s v="Combination"/>
    <s v="September"/>
    <s v="Q2"/>
    <s v="2019-20"/>
    <n v="6528"/>
    <n v="6475"/>
    <n v="427"/>
    <n v="379"/>
    <n v="48"/>
    <n v="12.664907651715041"/>
    <x v="1"/>
    <n v="53"/>
  </r>
  <r>
    <s v="Gear Assembly 4 (BS4/6)"/>
    <s v="Combination"/>
    <s v="October"/>
    <s v="Q3"/>
    <s v="2019-20"/>
    <n v="6438"/>
    <n v="5922"/>
    <n v="448"/>
    <n v="379"/>
    <n v="69"/>
    <n v="18.20580474934037"/>
    <x v="2"/>
    <n v="516"/>
  </r>
  <r>
    <s v="Gear Assembly 4 (BS4/6)"/>
    <s v="Combination"/>
    <s v="November"/>
    <s v="Q3"/>
    <s v="2019-20"/>
    <n v="5551"/>
    <n v="5002"/>
    <n v="526"/>
    <n v="379"/>
    <n v="147"/>
    <n v="38.786279683377309"/>
    <x v="2"/>
    <n v="549"/>
  </r>
  <r>
    <s v="Gear Assembly 4 (BS4/6)"/>
    <s v="Combination"/>
    <s v="December"/>
    <s v="Q3"/>
    <s v="2019-20"/>
    <n v="5892"/>
    <n v="5214"/>
    <n v="386"/>
    <n v="379"/>
    <n v="7"/>
    <n v="1.8469656992084433"/>
    <x v="2"/>
    <n v="678"/>
  </r>
  <r>
    <s v="Gear Assembly 4 (BS4/6)"/>
    <s v="Combination"/>
    <s v="January"/>
    <s v="Q4"/>
    <s v="2019-20"/>
    <n v="6661"/>
    <n v="6367"/>
    <n v="556"/>
    <n v="379"/>
    <n v="177"/>
    <n v="46.701846965699204"/>
    <x v="3"/>
    <n v="294"/>
  </r>
  <r>
    <s v="Gear Assembly 4 (BS4/6)"/>
    <s v="Combination"/>
    <s v="February"/>
    <s v="Q4"/>
    <s v="2019-20"/>
    <n v="6836"/>
    <n v="6174"/>
    <n v="503"/>
    <n v="379"/>
    <n v="124"/>
    <n v="32.717678100263853"/>
    <x v="3"/>
    <n v="662"/>
  </r>
  <r>
    <s v="Gear Assembly 4 (BS4/6)"/>
    <s v="Combination"/>
    <s v="March"/>
    <s v="Q4"/>
    <s v="2019-20"/>
    <n v="6023"/>
    <n v="5530"/>
    <n v="420"/>
    <n v="379"/>
    <n v="41"/>
    <n v="10.817941952506596"/>
    <x v="3"/>
    <n v="493"/>
  </r>
  <r>
    <s v="Gear Assembly 4 (BS4/6)"/>
    <s v="Combination"/>
    <s v="April"/>
    <s v="Q1"/>
    <s v="2020-21"/>
    <n v="5690"/>
    <n v="5543"/>
    <n v="378"/>
    <n v="379"/>
    <n v="-1"/>
    <n v="-0.26385224274406333"/>
    <x v="4"/>
    <n v="147"/>
  </r>
  <r>
    <s v="Gear Assembly 4 (BS4/6)"/>
    <s v="Combination"/>
    <s v="May"/>
    <s v="Q1"/>
    <s v="2020-21"/>
    <n v="6114"/>
    <n v="5797"/>
    <n v="435"/>
    <n v="379"/>
    <n v="56"/>
    <n v="14.775725593667547"/>
    <x v="4"/>
    <n v="317"/>
  </r>
  <r>
    <s v="Gear Assembly 4 (BS4/6)"/>
    <s v="Combination"/>
    <s v="June"/>
    <s v="Q1"/>
    <s v="2020-21"/>
    <n v="6704"/>
    <n v="6321"/>
    <n v="525"/>
    <n v="379"/>
    <n v="146"/>
    <n v="38.522427440633244"/>
    <x v="4"/>
    <n v="383"/>
  </r>
  <r>
    <s v="Gear Assembly 4 (BS4/6)"/>
    <s v="Combination"/>
    <s v="July"/>
    <s v="Q2"/>
    <s v="2020-21"/>
    <n v="6076"/>
    <n v="5585"/>
    <n v="499"/>
    <n v="379"/>
    <n v="120"/>
    <n v="31.662269129287601"/>
    <x v="5"/>
    <n v="491"/>
  </r>
  <r>
    <s v="Gear Assembly 4 (BS4/6)"/>
    <s v="Combination"/>
    <s v="August"/>
    <s v="Q2"/>
    <s v="2020-21"/>
    <n v="5670"/>
    <n v="4923"/>
    <n v="341"/>
    <n v="379"/>
    <n v="-38"/>
    <n v="-10.026385224274406"/>
    <x v="5"/>
    <n v="747"/>
  </r>
  <r>
    <s v="Gear Assembly 4 (BS4/6)"/>
    <s v="Combination"/>
    <s v="September"/>
    <s v="Q2"/>
    <s v="2020-21"/>
    <n v="5942"/>
    <n v="5259"/>
    <n v="478"/>
    <n v="379"/>
    <n v="99"/>
    <n v="26.121372031662272"/>
    <x v="5"/>
    <n v="683"/>
  </r>
  <r>
    <s v="Gear Assembly 4 (BS4/6)"/>
    <s v="Combination"/>
    <s v="October"/>
    <s v="Q3"/>
    <s v="2020-21"/>
    <n v="5598"/>
    <n v="5348"/>
    <n v="448"/>
    <n v="379"/>
    <n v="69"/>
    <n v="18.20580474934037"/>
    <x v="6"/>
    <n v="250"/>
  </r>
  <r>
    <s v="Gear Assembly 4 (BS4/6)"/>
    <s v="Combination"/>
    <s v="November"/>
    <s v="Q3"/>
    <s v="2020-21"/>
    <n v="5417"/>
    <n v="4926"/>
    <n v="466"/>
    <n v="379"/>
    <n v="87"/>
    <n v="22.955145118733508"/>
    <x v="6"/>
    <n v="491"/>
  </r>
  <r>
    <s v="Gear Assembly 4 (BS4/6)"/>
    <s v="Combination"/>
    <s v="December"/>
    <s v="Q3"/>
    <s v="2020-21"/>
    <n v="5185"/>
    <n v="5006"/>
    <n v="488"/>
    <n v="379"/>
    <n v="109"/>
    <n v="28.759894459102902"/>
    <x v="6"/>
    <n v="179"/>
  </r>
  <r>
    <s v="Gear Assembly 4 (BS4/6)"/>
    <s v="Combination"/>
    <s v="January"/>
    <s v="Q4"/>
    <s v="2020-21"/>
    <n v="6444"/>
    <n v="5803"/>
    <n v="404"/>
    <n v="379"/>
    <n v="25"/>
    <n v="6.5963060686015833"/>
    <x v="7"/>
    <n v="641"/>
  </r>
  <r>
    <s v="Gear Assembly 4 (BS4/6)"/>
    <s v="Combination"/>
    <s v="February"/>
    <s v="Q4"/>
    <s v="2020-21"/>
    <n v="5409"/>
    <n v="5111"/>
    <n v="535"/>
    <n v="379"/>
    <n v="156"/>
    <n v="41.160949868073878"/>
    <x v="7"/>
    <n v="298"/>
  </r>
  <r>
    <s v="Gear Assembly 4 (BS4/6)"/>
    <s v="Combination"/>
    <s v="March"/>
    <s v="Q4"/>
    <s v="2020-21"/>
    <n v="6539"/>
    <n v="6303"/>
    <n v="480"/>
    <n v="379"/>
    <n v="101"/>
    <n v="26.649076517150394"/>
    <x v="7"/>
    <n v="236"/>
  </r>
  <r>
    <s v="Gear Assembly 4 (BS4/6)"/>
    <s v="Combination"/>
    <s v="April"/>
    <s v="Q1"/>
    <s v="2021-22"/>
    <n v="5478"/>
    <n v="5223"/>
    <n v="513"/>
    <n v="379"/>
    <n v="134"/>
    <n v="35.356200527704488"/>
    <x v="8"/>
    <n v="255"/>
  </r>
  <r>
    <s v="Gear Assembly 4 (BS4/6)"/>
    <s v="Combination"/>
    <s v="May"/>
    <s v="Q1"/>
    <s v="2021-22"/>
    <n v="5292"/>
    <n v="5054"/>
    <n v="513"/>
    <n v="379"/>
    <n v="134"/>
    <n v="35.356200527704488"/>
    <x v="8"/>
    <n v="238"/>
  </r>
  <r>
    <s v="Gear Assembly 4 (BS4/6)"/>
    <s v="Combination"/>
    <s v="June"/>
    <s v="Q1"/>
    <s v="2021-22"/>
    <n v="5325"/>
    <n v="5119"/>
    <n v="502"/>
    <n v="379"/>
    <n v="123"/>
    <n v="32.453825857519789"/>
    <x v="8"/>
    <n v="206"/>
  </r>
  <r>
    <s v="Gear Assembly 4 (BS4/6)"/>
    <s v="Combination"/>
    <s v="July"/>
    <s v="Q2"/>
    <s v="2021-22"/>
    <n v="6496"/>
    <n v="5908"/>
    <n v="566"/>
    <n v="379"/>
    <n v="187"/>
    <n v="49.340369393139845"/>
    <x v="9"/>
    <n v="588"/>
  </r>
  <r>
    <s v="Gear Assembly 4 (BS4/6)"/>
    <s v="Combination"/>
    <s v="August"/>
    <s v="Q2"/>
    <s v="2021-22"/>
    <n v="5189"/>
    <n v="4807"/>
    <n v="408"/>
    <n v="379"/>
    <n v="29"/>
    <n v="7.6517150395778364"/>
    <x v="9"/>
    <n v="382"/>
  </r>
  <r>
    <s v="Gear Assembly 5 (BS6)"/>
    <s v="BS6 Only"/>
    <s v="April"/>
    <s v="Q1"/>
    <s v="2019-20"/>
    <n v="5443"/>
    <n v="5101"/>
    <n v="361"/>
    <n v="332"/>
    <n v="29"/>
    <n v="8.7349397590361448"/>
    <x v="0"/>
    <n v="342"/>
  </r>
  <r>
    <s v="Gear Assembly 5 (BS6)"/>
    <s v="BS6 Only"/>
    <s v="May"/>
    <s v="Q1"/>
    <s v="2019-20"/>
    <n v="6526"/>
    <n v="5886"/>
    <n v="508"/>
    <n v="332"/>
    <n v="176"/>
    <n v="53.01204819277109"/>
    <x v="0"/>
    <n v="640"/>
  </r>
  <r>
    <s v="Gear Assembly 5 (BS6)"/>
    <s v="BS6 Only"/>
    <s v="June"/>
    <s v="Q1"/>
    <s v="2019-20"/>
    <n v="6445"/>
    <n v="5482"/>
    <n v="367"/>
    <n v="332"/>
    <n v="35"/>
    <n v="10.542168674698797"/>
    <x v="0"/>
    <n v="963"/>
  </r>
  <r>
    <s v="Gear Assembly 5 (BS6)"/>
    <s v="BS6 Only"/>
    <s v="July"/>
    <s v="Q2"/>
    <s v="2019-20"/>
    <n v="5365"/>
    <n v="4683"/>
    <n v="428"/>
    <n v="332"/>
    <n v="96"/>
    <n v="28.915662650602407"/>
    <x v="1"/>
    <n v="682"/>
  </r>
  <r>
    <s v="Gear Assembly 5 (BS6)"/>
    <s v="BS6 Only"/>
    <s v="August"/>
    <s v="Q2"/>
    <s v="2019-20"/>
    <n v="5194"/>
    <n v="5012"/>
    <n v="497"/>
    <n v="332"/>
    <n v="165"/>
    <n v="49.698795180722897"/>
    <x v="1"/>
    <n v="182"/>
  </r>
  <r>
    <s v="Gear Assembly 5 (BS6)"/>
    <s v="BS6 Only"/>
    <s v="September"/>
    <s v="Q2"/>
    <s v="2019-20"/>
    <n v="5545"/>
    <n v="5016"/>
    <n v="524"/>
    <n v="332"/>
    <n v="192"/>
    <n v="57.831325301204814"/>
    <x v="1"/>
    <n v="529"/>
  </r>
  <r>
    <s v="Gear Assembly 5 (BS6)"/>
    <s v="BS6 Only"/>
    <s v="October"/>
    <s v="Q3"/>
    <s v="2019-20"/>
    <n v="5673"/>
    <n v="5525"/>
    <n v="360"/>
    <n v="332"/>
    <n v="28"/>
    <n v="8.4337349397590362"/>
    <x v="2"/>
    <n v="148"/>
  </r>
  <r>
    <s v="Gear Assembly 5 (BS6)"/>
    <s v="BS6 Only"/>
    <s v="November"/>
    <s v="Q3"/>
    <s v="2019-20"/>
    <n v="5406"/>
    <n v="4973"/>
    <n v="471"/>
    <n v="332"/>
    <n v="139"/>
    <n v="41.867469879518069"/>
    <x v="2"/>
    <n v="433"/>
  </r>
  <r>
    <s v="Gear Assembly 5 (BS6)"/>
    <s v="BS6 Only"/>
    <s v="December"/>
    <s v="Q3"/>
    <s v="2019-20"/>
    <n v="5536"/>
    <n v="4710"/>
    <n v="555"/>
    <n v="332"/>
    <n v="223"/>
    <n v="67.168674698795186"/>
    <x v="2"/>
    <n v="826"/>
  </r>
  <r>
    <s v="Gear Assembly 5 (BS6)"/>
    <s v="BS6 Only"/>
    <s v="January"/>
    <s v="Q4"/>
    <s v="2019-20"/>
    <n v="6275"/>
    <n v="5448"/>
    <n v="379"/>
    <n v="332"/>
    <n v="47"/>
    <n v="14.156626506024098"/>
    <x v="3"/>
    <n v="827"/>
  </r>
  <r>
    <s v="Gear Assembly 5 (BS6)"/>
    <s v="BS6 Only"/>
    <s v="February"/>
    <s v="Q4"/>
    <s v="2019-20"/>
    <n v="5125"/>
    <n v="4781"/>
    <n v="412"/>
    <n v="332"/>
    <n v="80"/>
    <n v="24.096385542168676"/>
    <x v="3"/>
    <n v="344"/>
  </r>
  <r>
    <s v="Gear Assembly 5 (BS6)"/>
    <s v="BS6 Only"/>
    <s v="March"/>
    <s v="Q4"/>
    <s v="2019-20"/>
    <n v="5759"/>
    <n v="5769"/>
    <n v="450"/>
    <n v="332"/>
    <n v="118"/>
    <n v="35.542168674698793"/>
    <x v="3"/>
    <n v="-10"/>
  </r>
  <r>
    <s v="Gear Assembly 5 (BS6)"/>
    <s v="BS6 Only"/>
    <s v="April"/>
    <s v="Q1"/>
    <s v="2020-21"/>
    <n v="5908"/>
    <n v="5234"/>
    <n v="424"/>
    <n v="332"/>
    <n v="92"/>
    <n v="27.710843373493976"/>
    <x v="4"/>
    <n v="674"/>
  </r>
  <r>
    <s v="Gear Assembly 5 (BS6)"/>
    <s v="BS6 Only"/>
    <s v="May"/>
    <s v="Q1"/>
    <s v="2020-21"/>
    <n v="5785"/>
    <n v="5110"/>
    <n v="444"/>
    <n v="332"/>
    <n v="112"/>
    <n v="33.734939759036145"/>
    <x v="4"/>
    <n v="675"/>
  </r>
  <r>
    <s v="Gear Assembly 5 (BS6)"/>
    <s v="BS6 Only"/>
    <s v="June"/>
    <s v="Q1"/>
    <s v="2020-21"/>
    <n v="6151"/>
    <n v="5852"/>
    <n v="489"/>
    <n v="332"/>
    <n v="157"/>
    <n v="47.289156626506021"/>
    <x v="4"/>
    <n v="299"/>
  </r>
  <r>
    <s v="Gear Assembly 5 (BS6)"/>
    <s v="BS6 Only"/>
    <s v="July"/>
    <s v="Q2"/>
    <s v="2020-21"/>
    <n v="6775"/>
    <n v="6348"/>
    <n v="388"/>
    <n v="332"/>
    <n v="56"/>
    <n v="16.867469879518072"/>
    <x v="5"/>
    <n v="427"/>
  </r>
  <r>
    <s v="Gear Assembly 5 (BS6)"/>
    <s v="BS6 Only"/>
    <s v="August"/>
    <s v="Q2"/>
    <s v="2020-21"/>
    <n v="5582"/>
    <n v="4706"/>
    <n v="521"/>
    <n v="332"/>
    <n v="189"/>
    <n v="56.92771084337349"/>
    <x v="5"/>
    <n v="876"/>
  </r>
  <r>
    <s v="Gear Assembly 5 (BS6)"/>
    <s v="BS6 Only"/>
    <s v="September"/>
    <s v="Q2"/>
    <s v="2020-21"/>
    <n v="5621"/>
    <n v="5183"/>
    <n v="408"/>
    <n v="332"/>
    <n v="76"/>
    <n v="22.891566265060241"/>
    <x v="5"/>
    <n v="438"/>
  </r>
  <r>
    <s v="Gear Assembly 5 (BS6)"/>
    <s v="BS6 Only"/>
    <s v="October"/>
    <s v="Q3"/>
    <s v="2020-21"/>
    <n v="6105"/>
    <n v="5457"/>
    <n v="453"/>
    <n v="332"/>
    <n v="121"/>
    <n v="36.445783132530117"/>
    <x v="6"/>
    <n v="648"/>
  </r>
  <r>
    <s v="Gear Assembly 5 (BS6)"/>
    <s v="BS6 Only"/>
    <s v="November"/>
    <s v="Q3"/>
    <s v="2020-21"/>
    <n v="6230"/>
    <n v="5792"/>
    <n v="378"/>
    <n v="332"/>
    <n v="46"/>
    <n v="13.855421686746988"/>
    <x v="6"/>
    <n v="438"/>
  </r>
  <r>
    <s v="Gear Assembly 5 (BS6)"/>
    <s v="BS6 Only"/>
    <s v="December"/>
    <s v="Q3"/>
    <s v="2020-21"/>
    <n v="6246"/>
    <n v="6030"/>
    <n v="457"/>
    <n v="332"/>
    <n v="125"/>
    <n v="37.650602409638559"/>
    <x v="6"/>
    <n v="216"/>
  </r>
  <r>
    <s v="Gear Assembly 5 (BS6)"/>
    <s v="BS6 Only"/>
    <s v="January"/>
    <s v="Q4"/>
    <s v="2020-21"/>
    <n v="5796"/>
    <n v="5540"/>
    <n v="499"/>
    <n v="332"/>
    <n v="167"/>
    <n v="50.30120481927711"/>
    <x v="7"/>
    <n v="256"/>
  </r>
  <r>
    <s v="Gear Assembly 5 (BS6)"/>
    <s v="BS6 Only"/>
    <s v="February"/>
    <s v="Q4"/>
    <s v="2020-21"/>
    <n v="5885"/>
    <n v="5418"/>
    <n v="480"/>
    <n v="332"/>
    <n v="148"/>
    <n v="44.578313253012048"/>
    <x v="7"/>
    <n v="467"/>
  </r>
  <r>
    <s v="Gear Assembly 5 (BS6)"/>
    <s v="BS6 Only"/>
    <s v="March"/>
    <s v="Q4"/>
    <s v="2020-21"/>
    <n v="5970"/>
    <n v="5229"/>
    <n v="492"/>
    <n v="332"/>
    <n v="160"/>
    <n v="48.192771084337352"/>
    <x v="7"/>
    <n v="741"/>
  </r>
  <r>
    <s v="Gear Assembly 5 (BS6)"/>
    <s v="BS6 Only"/>
    <s v="April"/>
    <s v="Q1"/>
    <s v="2021-22"/>
    <n v="5601"/>
    <n v="5092"/>
    <n v="494"/>
    <n v="332"/>
    <n v="162"/>
    <n v="48.795180722891565"/>
    <x v="8"/>
    <n v="509"/>
  </r>
  <r>
    <s v="Gear Assembly 5 (BS6)"/>
    <s v="BS6 Only"/>
    <s v="May"/>
    <s v="Q1"/>
    <s v="2021-22"/>
    <n v="5276"/>
    <n v="5000"/>
    <n v="367"/>
    <n v="332"/>
    <n v="35"/>
    <n v="10.542168674698797"/>
    <x v="8"/>
    <n v="276"/>
  </r>
  <r>
    <s v="Gear Assembly 5 (BS6)"/>
    <s v="BS6 Only"/>
    <s v="June"/>
    <s v="Q1"/>
    <s v="2021-22"/>
    <n v="6069"/>
    <n v="5864"/>
    <n v="408"/>
    <n v="332"/>
    <n v="76"/>
    <n v="22.891566265060241"/>
    <x v="8"/>
    <n v="205"/>
  </r>
  <r>
    <s v="Gear Assembly 5 (BS6)"/>
    <s v="BS6 Only"/>
    <s v="July"/>
    <s v="Q2"/>
    <s v="2021-22"/>
    <n v="6231"/>
    <n v="5410"/>
    <n v="454"/>
    <n v="332"/>
    <n v="122"/>
    <n v="36.746987951807228"/>
    <x v="9"/>
    <n v="821"/>
  </r>
  <r>
    <s v="Gear Assembly 5 (BS6)"/>
    <s v="BS6 Only"/>
    <s v="August"/>
    <s v="Q2"/>
    <s v="2021-22"/>
    <n v="5585"/>
    <n v="5132"/>
    <n v="393"/>
    <n v="332"/>
    <n v="61"/>
    <n v="18.373493975903614"/>
    <x v="9"/>
    <n v="453"/>
  </r>
  <r>
    <s v="Gear Assembly 6 (BS6)"/>
    <s v="BS6 Only"/>
    <s v="April"/>
    <s v="Q1"/>
    <s v="2019-20"/>
    <n v="6364"/>
    <n v="6015"/>
    <n v="353"/>
    <n v="428"/>
    <n v="-75"/>
    <n v="-17.523364485981308"/>
    <x v="0"/>
    <n v="349"/>
  </r>
  <r>
    <s v="Gear Assembly 6 (BS6)"/>
    <s v="BS6 Only"/>
    <s v="May"/>
    <s v="Q1"/>
    <s v="2019-20"/>
    <n v="5201"/>
    <n v="5067"/>
    <n v="479"/>
    <n v="428"/>
    <n v="51"/>
    <n v="11.915887850467289"/>
    <x v="0"/>
    <n v="134"/>
  </r>
  <r>
    <s v="Gear Assembly 6 (BS6)"/>
    <s v="BS6 Only"/>
    <s v="June"/>
    <s v="Q1"/>
    <s v="2019-20"/>
    <n v="5762"/>
    <n v="5481"/>
    <n v="465"/>
    <n v="428"/>
    <n v="37"/>
    <n v="8.6448598130841123"/>
    <x v="0"/>
    <n v="281"/>
  </r>
  <r>
    <s v="Gear Assembly 6 (BS6)"/>
    <s v="BS6 Only"/>
    <s v="July"/>
    <s v="Q2"/>
    <s v="2019-20"/>
    <n v="5145"/>
    <n v="4510"/>
    <n v="461"/>
    <n v="428"/>
    <n v="33"/>
    <n v="7.7102803738317753"/>
    <x v="1"/>
    <n v="635"/>
  </r>
  <r>
    <s v="Gear Assembly 6 (BS6)"/>
    <s v="BS6 Only"/>
    <s v="August"/>
    <s v="Q2"/>
    <s v="2019-20"/>
    <n v="5428"/>
    <n v="4990"/>
    <n v="570"/>
    <n v="428"/>
    <n v="142"/>
    <n v="33.177570093457945"/>
    <x v="1"/>
    <n v="438"/>
  </r>
  <r>
    <s v="Gear Assembly 6 (BS6)"/>
    <s v="BS6 Only"/>
    <s v="September"/>
    <s v="Q2"/>
    <s v="2019-20"/>
    <n v="5757"/>
    <n v="5291"/>
    <n v="404"/>
    <n v="428"/>
    <n v="-24"/>
    <n v="-5.6074766355140184"/>
    <x v="1"/>
    <n v="466"/>
  </r>
  <r>
    <s v="Gear Assembly 6 (BS6)"/>
    <s v="BS6 Only"/>
    <s v="October"/>
    <s v="Q3"/>
    <s v="2019-20"/>
    <n v="5944"/>
    <n v="5792"/>
    <n v="570"/>
    <n v="428"/>
    <n v="142"/>
    <n v="33.177570093457945"/>
    <x v="2"/>
    <n v="152"/>
  </r>
  <r>
    <s v="Gear Assembly 6 (BS6)"/>
    <s v="BS6 Only"/>
    <s v="November"/>
    <s v="Q3"/>
    <s v="2019-20"/>
    <n v="5260"/>
    <n v="4566"/>
    <n v="534"/>
    <n v="428"/>
    <n v="106"/>
    <n v="24.766355140186917"/>
    <x v="2"/>
    <n v="694"/>
  </r>
  <r>
    <s v="Gear Assembly 6 (BS6)"/>
    <s v="BS6 Only"/>
    <s v="December"/>
    <s v="Q3"/>
    <s v="2019-20"/>
    <n v="6865"/>
    <n v="6146"/>
    <n v="353"/>
    <n v="428"/>
    <n v="-75"/>
    <n v="-17.523364485981308"/>
    <x v="2"/>
    <n v="719"/>
  </r>
  <r>
    <s v="Gear Assembly 6 (BS6)"/>
    <s v="BS6 Only"/>
    <s v="January"/>
    <s v="Q4"/>
    <s v="2019-20"/>
    <n v="5629"/>
    <n v="5126"/>
    <n v="404"/>
    <n v="428"/>
    <n v="-24"/>
    <n v="-5.6074766355140184"/>
    <x v="3"/>
    <n v="503"/>
  </r>
  <r>
    <s v="Gear Assembly 6 (BS6)"/>
    <s v="BS6 Only"/>
    <s v="February"/>
    <s v="Q4"/>
    <s v="2019-20"/>
    <n v="5584"/>
    <n v="4990"/>
    <n v="508"/>
    <n v="428"/>
    <n v="80"/>
    <n v="18.691588785046729"/>
    <x v="3"/>
    <n v="594"/>
  </r>
  <r>
    <s v="Gear Assembly 6 (BS6)"/>
    <s v="BS6 Only"/>
    <s v="March"/>
    <s v="Q4"/>
    <s v="2019-20"/>
    <n v="6229"/>
    <n v="5614"/>
    <n v="436"/>
    <n v="428"/>
    <n v="8"/>
    <n v="1.8691588785046727"/>
    <x v="3"/>
    <n v="615"/>
  </r>
  <r>
    <s v="Gear Assembly 6 (BS6)"/>
    <s v="BS6 Only"/>
    <s v="April"/>
    <s v="Q1"/>
    <s v="2020-21"/>
    <n v="5332"/>
    <n v="4861"/>
    <n v="529"/>
    <n v="428"/>
    <n v="101"/>
    <n v="23.598130841121495"/>
    <x v="4"/>
    <n v="471"/>
  </r>
  <r>
    <s v="Gear Assembly 6 (BS6)"/>
    <s v="BS6 Only"/>
    <s v="May"/>
    <s v="Q1"/>
    <s v="2020-21"/>
    <n v="5968"/>
    <n v="5868"/>
    <n v="469"/>
    <n v="428"/>
    <n v="41"/>
    <n v="9.5794392523364476"/>
    <x v="4"/>
    <n v="100"/>
  </r>
  <r>
    <s v="Gear Assembly 6 (BS6)"/>
    <s v="BS6 Only"/>
    <s v="June"/>
    <s v="Q1"/>
    <s v="2020-21"/>
    <n v="6761"/>
    <n v="5757"/>
    <n v="367"/>
    <n v="428"/>
    <n v="-61"/>
    <n v="-14.252336448598129"/>
    <x v="4"/>
    <n v="1004"/>
  </r>
  <r>
    <s v="Gear Assembly 6 (BS6)"/>
    <s v="BS6 Only"/>
    <s v="July"/>
    <s v="Q2"/>
    <s v="2020-21"/>
    <n v="6566"/>
    <n v="6325"/>
    <n v="566"/>
    <n v="428"/>
    <n v="138"/>
    <n v="32.242990654205606"/>
    <x v="5"/>
    <n v="241"/>
  </r>
  <r>
    <s v="Gear Assembly 6 (BS6)"/>
    <s v="BS6 Only"/>
    <s v="August"/>
    <s v="Q2"/>
    <s v="2020-21"/>
    <n v="6080"/>
    <n v="5586"/>
    <n v="502"/>
    <n v="428"/>
    <n v="74"/>
    <n v="17.289719626168225"/>
    <x v="5"/>
    <n v="494"/>
  </r>
  <r>
    <s v="Gear Assembly 6 (BS6)"/>
    <s v="BS6 Only"/>
    <s v="September"/>
    <s v="Q2"/>
    <s v="2020-21"/>
    <n v="5448"/>
    <n v="5004"/>
    <n v="360"/>
    <n v="428"/>
    <n v="-68"/>
    <n v="-15.887850467289718"/>
    <x v="5"/>
    <n v="444"/>
  </r>
  <r>
    <s v="Gear Assembly 6 (BS6)"/>
    <s v="BS6 Only"/>
    <s v="October"/>
    <s v="Q3"/>
    <s v="2020-21"/>
    <n v="6410"/>
    <n v="6070"/>
    <n v="492"/>
    <n v="428"/>
    <n v="64"/>
    <n v="14.953271028037381"/>
    <x v="6"/>
    <n v="340"/>
  </r>
  <r>
    <s v="Gear Assembly 6 (BS6)"/>
    <s v="BS6 Only"/>
    <s v="November"/>
    <s v="Q3"/>
    <s v="2020-21"/>
    <n v="5630"/>
    <n v="4835"/>
    <n v="408"/>
    <n v="428"/>
    <n v="-20"/>
    <n v="-4.6728971962616823"/>
    <x v="6"/>
    <n v="795"/>
  </r>
  <r>
    <s v="Gear Assembly 6 (BS6)"/>
    <s v="BS6 Only"/>
    <s v="December"/>
    <s v="Q3"/>
    <s v="2020-21"/>
    <n v="6832"/>
    <n v="6666"/>
    <n v="531"/>
    <n v="428"/>
    <n v="103"/>
    <n v="24.065420560747665"/>
    <x v="6"/>
    <n v="166"/>
  </r>
  <r>
    <s v="Gear Assembly 6 (BS6)"/>
    <s v="BS6 Only"/>
    <s v="January"/>
    <s v="Q4"/>
    <s v="2020-21"/>
    <n v="6440"/>
    <n v="5630"/>
    <n v="441"/>
    <n v="428"/>
    <n v="13"/>
    <n v="3.0373831775700935"/>
    <x v="7"/>
    <n v="810"/>
  </r>
  <r>
    <s v="Gear Assembly 6 (BS6)"/>
    <s v="BS6 Only"/>
    <s v="February"/>
    <s v="Q4"/>
    <s v="2020-21"/>
    <n v="5367"/>
    <n v="4985"/>
    <n v="374"/>
    <n v="428"/>
    <n v="-54"/>
    <n v="-12.616822429906541"/>
    <x v="7"/>
    <n v="382"/>
  </r>
  <r>
    <s v="Gear Assembly 6 (BS6)"/>
    <s v="BS6 Only"/>
    <s v="March"/>
    <s v="Q4"/>
    <s v="2020-21"/>
    <n v="5865"/>
    <n v="5653"/>
    <n v="341"/>
    <n v="428"/>
    <n v="-87"/>
    <n v="-20.327102803738317"/>
    <x v="7"/>
    <n v="212"/>
  </r>
  <r>
    <s v="Gear Assembly 6 (BS6)"/>
    <s v="BS6 Only"/>
    <s v="April"/>
    <s v="Q1"/>
    <s v="2021-22"/>
    <n v="6737"/>
    <n v="6427"/>
    <n v="550"/>
    <n v="428"/>
    <n v="122"/>
    <n v="28.504672897196258"/>
    <x v="8"/>
    <n v="310"/>
  </r>
  <r>
    <s v="Gear Assembly 6 (BS6)"/>
    <s v="BS6 Only"/>
    <s v="May"/>
    <s v="Q1"/>
    <s v="2021-22"/>
    <n v="5816"/>
    <n v="5239"/>
    <n v="540"/>
    <n v="428"/>
    <n v="112"/>
    <n v="26.168224299065418"/>
    <x v="8"/>
    <n v="577"/>
  </r>
  <r>
    <s v="Gear Assembly 6 (BS6)"/>
    <s v="BS6 Only"/>
    <s v="June"/>
    <s v="Q1"/>
    <s v="2021-22"/>
    <n v="5353"/>
    <n v="4921"/>
    <n v="555"/>
    <n v="428"/>
    <n v="127"/>
    <n v="29.672897196261683"/>
    <x v="8"/>
    <n v="432"/>
  </r>
  <r>
    <s v="Gear Assembly 6 (BS6)"/>
    <s v="BS6 Only"/>
    <s v="July"/>
    <s v="Q2"/>
    <s v="2021-22"/>
    <n v="6048"/>
    <n v="5616"/>
    <n v="390"/>
    <n v="428"/>
    <n v="-38"/>
    <n v="-8.8785046728971952"/>
    <x v="9"/>
    <n v="432"/>
  </r>
  <r>
    <s v="Gear Assembly 6 (BS6)"/>
    <s v="BS6 Only"/>
    <s v="August"/>
    <s v="Q2"/>
    <s v="2021-22"/>
    <n v="6145"/>
    <n v="5647"/>
    <n v="489"/>
    <n v="428"/>
    <n v="61"/>
    <n v="14.252336448598129"/>
    <x v="9"/>
    <n v="498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4">
  <r>
    <x v="0"/>
    <s v="BS4 Only"/>
    <s v="April"/>
    <s v="Q1"/>
    <x v="0"/>
    <n v="6336"/>
    <n v="5600"/>
    <n v="432"/>
    <n v="400"/>
    <n v="32"/>
    <n v="8"/>
    <s v="Q12019-20"/>
    <n v="736"/>
    <n v="2419200"/>
  </r>
  <r>
    <x v="0"/>
    <s v="BS4 Only"/>
    <s v="May"/>
    <s v="Q1"/>
    <x v="0"/>
    <n v="5686"/>
    <n v="5523"/>
    <n v="433"/>
    <n v="400"/>
    <n v="33"/>
    <n v="8.25"/>
    <s v="Q12019-20"/>
    <n v="163"/>
    <n v="2391459"/>
  </r>
  <r>
    <x v="0"/>
    <s v="BS4 Only"/>
    <s v="June"/>
    <s v="Q1"/>
    <x v="0"/>
    <n v="6614"/>
    <n v="5726"/>
    <n v="498"/>
    <n v="400"/>
    <n v="98"/>
    <n v="24.5"/>
    <s v="Q12019-20"/>
    <n v="888"/>
    <n v="2851548"/>
  </r>
  <r>
    <x v="0"/>
    <s v="BS4 Only"/>
    <s v="July"/>
    <s v="Q2"/>
    <x v="0"/>
    <n v="5470"/>
    <n v="4916"/>
    <n v="539"/>
    <n v="400"/>
    <n v="139"/>
    <n v="34.75"/>
    <s v="Q22019-20"/>
    <n v="554"/>
    <n v="2649724"/>
  </r>
  <r>
    <x v="0"/>
    <s v="BS4 Only"/>
    <s v="August"/>
    <s v="Q2"/>
    <x v="0"/>
    <n v="6496"/>
    <n v="6089"/>
    <n v="463"/>
    <n v="400"/>
    <n v="63"/>
    <n v="15.75"/>
    <s v="Q22019-20"/>
    <n v="407"/>
    <n v="2819207"/>
  </r>
  <r>
    <x v="0"/>
    <s v="BS4 Only"/>
    <s v="September"/>
    <s v="Q2"/>
    <x v="0"/>
    <n v="5306"/>
    <n v="5032"/>
    <n v="463"/>
    <n v="400"/>
    <n v="63"/>
    <n v="15.75"/>
    <s v="Q22019-20"/>
    <n v="274"/>
    <n v="2329816"/>
  </r>
  <r>
    <x v="0"/>
    <s v="BS4 Only"/>
    <s v="October"/>
    <s v="Q3"/>
    <x v="0"/>
    <n v="5725"/>
    <n v="5478"/>
    <n v="328"/>
    <n v="400"/>
    <n v="-72"/>
    <n v="-18"/>
    <s v="Q32019-20"/>
    <n v="247"/>
    <n v="1796784"/>
  </r>
  <r>
    <x v="0"/>
    <s v="BS4 Only"/>
    <s v="November"/>
    <s v="Q3"/>
    <x v="0"/>
    <n v="5717"/>
    <n v="5675"/>
    <n v="408"/>
    <n v="400"/>
    <n v="8"/>
    <n v="2"/>
    <s v="Q32019-20"/>
    <n v="42"/>
    <n v="2315400"/>
  </r>
  <r>
    <x v="0"/>
    <s v="BS4 Only"/>
    <s v="December"/>
    <s v="Q3"/>
    <x v="0"/>
    <n v="6043"/>
    <n v="5489"/>
    <n v="341"/>
    <n v="400"/>
    <n v="-59"/>
    <n v="-14.75"/>
    <s v="Q32019-20"/>
    <n v="554"/>
    <n v="1871749"/>
  </r>
  <r>
    <x v="0"/>
    <s v="BS4 Only"/>
    <s v="January"/>
    <s v="Q4"/>
    <x v="0"/>
    <n v="6454"/>
    <n v="5869"/>
    <n v="527"/>
    <n v="400"/>
    <n v="127"/>
    <n v="31.75"/>
    <s v="Q42019-20"/>
    <n v="585"/>
    <n v="3092963"/>
  </r>
  <r>
    <x v="0"/>
    <s v="BS4 Only"/>
    <s v="February"/>
    <s v="Q4"/>
    <x v="0"/>
    <n v="6747"/>
    <n v="6019"/>
    <n v="448"/>
    <n v="400"/>
    <n v="48"/>
    <n v="12"/>
    <s v="Q42019-20"/>
    <n v="728"/>
    <n v="2696512"/>
  </r>
  <r>
    <x v="0"/>
    <s v="BS4 Only"/>
    <s v="March"/>
    <s v="Q4"/>
    <x v="0"/>
    <n v="6690"/>
    <n v="6225"/>
    <n v="404"/>
    <n v="400"/>
    <n v="4"/>
    <n v="1"/>
    <s v="Q42019-20"/>
    <n v="465"/>
    <n v="2514900"/>
  </r>
  <r>
    <x v="0"/>
    <s v="BS4 Only"/>
    <s v="April"/>
    <s v="Q1"/>
    <x v="1"/>
    <n v="5232"/>
    <n v="4858"/>
    <n v="492"/>
    <n v="400"/>
    <n v="92"/>
    <n v="23"/>
    <s v="Q12020-21"/>
    <n v="374"/>
    <n v="2390136"/>
  </r>
  <r>
    <x v="0"/>
    <s v="BS4 Only"/>
    <s v="May"/>
    <s v="Q1"/>
    <x v="1"/>
    <n v="6139"/>
    <n v="5419"/>
    <n v="461"/>
    <n v="400"/>
    <n v="61"/>
    <n v="15.25"/>
    <s v="Q12020-21"/>
    <n v="720"/>
    <n v="2498159"/>
  </r>
  <r>
    <x v="0"/>
    <s v="BS4 Only"/>
    <s v="June"/>
    <s v="Q1"/>
    <x v="1"/>
    <n v="5392"/>
    <n v="4768"/>
    <n v="562"/>
    <n v="400"/>
    <n v="162"/>
    <n v="40.5"/>
    <s v="Q12020-21"/>
    <n v="624"/>
    <n v="2679616"/>
  </r>
  <r>
    <x v="0"/>
    <s v="BS4 Only"/>
    <s v="July"/>
    <s v="Q2"/>
    <x v="1"/>
    <n v="6208"/>
    <n v="5868"/>
    <n v="367"/>
    <n v="400"/>
    <n v="-33"/>
    <n v="-8.25"/>
    <s v="Q22020-21"/>
    <n v="340"/>
    <n v="2153556"/>
  </r>
  <r>
    <x v="0"/>
    <s v="BS4 Only"/>
    <s v="August"/>
    <s v="Q2"/>
    <x v="1"/>
    <n v="6567"/>
    <n v="5966"/>
    <n v="341"/>
    <n v="400"/>
    <n v="-59"/>
    <n v="-14.75"/>
    <s v="Q22020-21"/>
    <n v="601"/>
    <n v="2034406"/>
  </r>
  <r>
    <x v="0"/>
    <s v="BS4 Only"/>
    <s v="September"/>
    <s v="Q2"/>
    <x v="1"/>
    <n v="6063"/>
    <n v="5849"/>
    <n v="525"/>
    <n v="400"/>
    <n v="125"/>
    <n v="31.25"/>
    <s v="Q22020-21"/>
    <n v="214"/>
    <n v="3070725"/>
  </r>
  <r>
    <x v="0"/>
    <s v="BS4 Only"/>
    <s v="October"/>
    <s v="Q3"/>
    <x v="1"/>
    <n v="6311"/>
    <n v="6254"/>
    <n v="419"/>
    <n v="400"/>
    <n v="19"/>
    <n v="4.75"/>
    <s v="Q32020-21"/>
    <n v="57"/>
    <n v="2620426"/>
  </r>
  <r>
    <x v="0"/>
    <s v="BS4 Only"/>
    <s v="November"/>
    <s v="Q3"/>
    <x v="1"/>
    <n v="5220"/>
    <n v="5082"/>
    <n v="524"/>
    <n v="400"/>
    <n v="124"/>
    <n v="31"/>
    <s v="Q32020-21"/>
    <n v="138"/>
    <n v="2662968"/>
  </r>
  <r>
    <x v="0"/>
    <s v="BS4 Only"/>
    <s v="December"/>
    <s v="Q3"/>
    <x v="1"/>
    <n v="5626"/>
    <n v="5190"/>
    <n v="461"/>
    <n v="400"/>
    <n v="61"/>
    <n v="15.25"/>
    <s v="Q32020-21"/>
    <n v="436"/>
    <n v="2392590"/>
  </r>
  <r>
    <x v="0"/>
    <s v="BS4 Only"/>
    <s v="January"/>
    <s v="Q4"/>
    <x v="1"/>
    <n v="5832"/>
    <n v="5270"/>
    <n v="381"/>
    <n v="400"/>
    <n v="-19"/>
    <n v="-4.75"/>
    <s v="Q42020-21"/>
    <n v="562"/>
    <n v="2007870"/>
  </r>
  <r>
    <x v="0"/>
    <s v="BS4 Only"/>
    <s v="February"/>
    <s v="Q4"/>
    <x v="1"/>
    <n v="5592"/>
    <n v="5241"/>
    <n v="424"/>
    <n v="400"/>
    <n v="24"/>
    <n v="6"/>
    <s v="Q42020-21"/>
    <n v="351"/>
    <n v="2222184"/>
  </r>
  <r>
    <x v="0"/>
    <s v="BS4 Only"/>
    <s v="March"/>
    <s v="Q4"/>
    <x v="1"/>
    <n v="5737"/>
    <n v="5268"/>
    <n v="378"/>
    <n v="400"/>
    <n v="-22"/>
    <n v="-5.5"/>
    <s v="Q42020-21"/>
    <n v="469"/>
    <n v="1991304"/>
  </r>
  <r>
    <x v="0"/>
    <s v="BS4 Only"/>
    <s v="April"/>
    <s v="Q1"/>
    <x v="2"/>
    <n v="5465"/>
    <n v="4825"/>
    <n v="556"/>
    <n v="400"/>
    <n v="156"/>
    <n v="39"/>
    <s v="Q12021-22"/>
    <n v="640"/>
    <n v="2682700"/>
  </r>
  <r>
    <x v="0"/>
    <s v="BS4 Only"/>
    <s v="May"/>
    <s v="Q1"/>
    <x v="2"/>
    <n v="5689"/>
    <n v="5340"/>
    <n v="433"/>
    <n v="400"/>
    <n v="33"/>
    <n v="8.25"/>
    <s v="Q12021-22"/>
    <n v="349"/>
    <n v="2312220"/>
  </r>
  <r>
    <x v="0"/>
    <s v="BS4 Only"/>
    <s v="June"/>
    <s v="Q1"/>
    <x v="2"/>
    <n v="5752"/>
    <n v="5197"/>
    <n v="530"/>
    <n v="400"/>
    <n v="130"/>
    <n v="32.5"/>
    <s v="Q12021-22"/>
    <n v="555"/>
    <n v="2754410"/>
  </r>
  <r>
    <x v="0"/>
    <s v="BS4 Only"/>
    <s v="July"/>
    <s v="Q2"/>
    <x v="2"/>
    <n v="6668"/>
    <n v="6061"/>
    <n v="452"/>
    <n v="400"/>
    <n v="52"/>
    <n v="13"/>
    <s v="Q22021-22"/>
    <n v="607"/>
    <n v="2739572"/>
  </r>
  <r>
    <x v="0"/>
    <s v="BS4 Only"/>
    <s v="August"/>
    <s v="Q2"/>
    <x v="2"/>
    <n v="5889"/>
    <n v="5316"/>
    <n v="452"/>
    <n v="400"/>
    <n v="52"/>
    <n v="13"/>
    <s v="Q22021-22"/>
    <n v="573"/>
    <n v="2402832"/>
  </r>
  <r>
    <x v="1"/>
    <s v="BS4 Only"/>
    <s v="April"/>
    <s v="Q1"/>
    <x v="0"/>
    <n v="6348"/>
    <n v="6003"/>
    <n v="347"/>
    <n v="334"/>
    <n v="13"/>
    <n v="3.8922155688622757"/>
    <s v="Q12019-20"/>
    <n v="345"/>
    <n v="2083041"/>
  </r>
  <r>
    <x v="1"/>
    <s v="BS4 Only"/>
    <s v="May"/>
    <s v="Q1"/>
    <x v="0"/>
    <n v="5972"/>
    <n v="5871"/>
    <n v="396"/>
    <n v="334"/>
    <n v="62"/>
    <n v="18.562874251497004"/>
    <s v="Q12019-20"/>
    <n v="101"/>
    <n v="2324916"/>
  </r>
  <r>
    <x v="1"/>
    <s v="BS4 Only"/>
    <s v="June"/>
    <s v="Q1"/>
    <x v="0"/>
    <n v="5866"/>
    <n v="5226"/>
    <n v="364"/>
    <n v="334"/>
    <n v="30"/>
    <n v="8.9820359281437128"/>
    <s v="Q12019-20"/>
    <n v="640"/>
    <n v="1902264"/>
  </r>
  <r>
    <x v="1"/>
    <s v="BS4 Only"/>
    <s v="July"/>
    <s v="Q2"/>
    <x v="0"/>
    <n v="6385"/>
    <n v="5861"/>
    <n v="540"/>
    <n v="334"/>
    <n v="206"/>
    <n v="61.676646706586823"/>
    <s v="Q22019-20"/>
    <n v="524"/>
    <n v="3164940"/>
  </r>
  <r>
    <x v="1"/>
    <s v="BS4 Only"/>
    <s v="August"/>
    <s v="Q2"/>
    <x v="0"/>
    <n v="5165"/>
    <n v="4662"/>
    <n v="513"/>
    <n v="334"/>
    <n v="179"/>
    <n v="53.592814371257482"/>
    <s v="Q22019-20"/>
    <n v="503"/>
    <n v="2391606"/>
  </r>
  <r>
    <x v="1"/>
    <s v="BS4 Only"/>
    <s v="September"/>
    <s v="Q2"/>
    <x v="0"/>
    <n v="6820"/>
    <n v="6405"/>
    <n v="498"/>
    <n v="334"/>
    <n v="164"/>
    <n v="49.101796407185624"/>
    <s v="Q22019-20"/>
    <n v="415"/>
    <n v="3189690"/>
  </r>
  <r>
    <x v="1"/>
    <s v="BS4 Only"/>
    <s v="October"/>
    <s v="Q3"/>
    <x v="0"/>
    <n v="5827"/>
    <n v="5890"/>
    <n v="562"/>
    <n v="334"/>
    <n v="228"/>
    <n v="68.263473053892227"/>
    <s v="Q32019-20"/>
    <n v="-63"/>
    <n v="3310180"/>
  </r>
  <r>
    <x v="1"/>
    <s v="BS4 Only"/>
    <s v="November"/>
    <s v="Q3"/>
    <x v="0"/>
    <n v="6533"/>
    <n v="5944"/>
    <n v="475"/>
    <n v="334"/>
    <n v="141"/>
    <n v="42.215568862275447"/>
    <s v="Q32019-20"/>
    <n v="589"/>
    <n v="2823400"/>
  </r>
  <r>
    <x v="1"/>
    <s v="BS4 Only"/>
    <s v="December"/>
    <s v="Q3"/>
    <x v="0"/>
    <n v="5685"/>
    <n v="5376"/>
    <n v="371"/>
    <n v="334"/>
    <n v="37"/>
    <n v="11.077844311377245"/>
    <s v="Q32019-20"/>
    <n v="309"/>
    <n v="1994496"/>
  </r>
  <r>
    <x v="1"/>
    <s v="BS4 Only"/>
    <s v="January"/>
    <s v="Q4"/>
    <x v="0"/>
    <n v="6781"/>
    <n v="6608"/>
    <n v="360"/>
    <n v="334"/>
    <n v="26"/>
    <n v="7.7844311377245514"/>
    <s v="Q42019-20"/>
    <n v="173"/>
    <n v="2378880"/>
  </r>
  <r>
    <x v="1"/>
    <s v="BS4 Only"/>
    <s v="February"/>
    <s v="Q4"/>
    <x v="0"/>
    <n v="5535"/>
    <n v="5088"/>
    <n v="404"/>
    <n v="334"/>
    <n v="70"/>
    <n v="20.958083832335326"/>
    <s v="Q42019-20"/>
    <n v="447"/>
    <n v="2055552"/>
  </r>
  <r>
    <x v="1"/>
    <s v="BS4 Only"/>
    <s v="March"/>
    <s v="Q4"/>
    <x v="0"/>
    <n v="6222"/>
    <n v="5548"/>
    <n v="372"/>
    <n v="334"/>
    <n v="38"/>
    <n v="11.377245508982035"/>
    <s v="Q42019-20"/>
    <n v="674"/>
    <n v="2063856"/>
  </r>
  <r>
    <x v="1"/>
    <s v="BS4 Only"/>
    <s v="April"/>
    <s v="Q1"/>
    <x v="1"/>
    <n v="6713"/>
    <n v="6013"/>
    <n v="435"/>
    <n v="334"/>
    <n v="101"/>
    <n v="30.239520958083833"/>
    <s v="Q12020-21"/>
    <n v="700"/>
    <n v="2615655"/>
  </r>
  <r>
    <x v="1"/>
    <s v="BS4 Only"/>
    <s v="May"/>
    <s v="Q1"/>
    <x v="1"/>
    <n v="6675"/>
    <n v="6092"/>
    <n v="341"/>
    <n v="334"/>
    <n v="7"/>
    <n v="2.0958083832335328"/>
    <s v="Q12020-21"/>
    <n v="583"/>
    <n v="2077372"/>
  </r>
  <r>
    <x v="1"/>
    <s v="BS4 Only"/>
    <s v="June"/>
    <s v="Q1"/>
    <x v="1"/>
    <n v="6186"/>
    <n v="5729"/>
    <n v="488"/>
    <n v="334"/>
    <n v="154"/>
    <n v="46.107784431137731"/>
    <s v="Q12020-21"/>
    <n v="457"/>
    <n v="2795752"/>
  </r>
  <r>
    <x v="1"/>
    <s v="BS4 Only"/>
    <s v="July"/>
    <s v="Q2"/>
    <x v="1"/>
    <n v="5038"/>
    <n v="4538"/>
    <n v="452"/>
    <n v="334"/>
    <n v="118"/>
    <n v="35.32934131736527"/>
    <s v="Q22020-21"/>
    <n v="500"/>
    <n v="2051176"/>
  </r>
  <r>
    <x v="1"/>
    <s v="BS4 Only"/>
    <s v="August"/>
    <s v="Q2"/>
    <x v="1"/>
    <n v="6074"/>
    <n v="5227"/>
    <n v="392"/>
    <n v="334"/>
    <n v="58"/>
    <n v="17.365269461077844"/>
    <s v="Q22020-21"/>
    <n v="847"/>
    <n v="2048984"/>
  </r>
  <r>
    <x v="1"/>
    <s v="BS4 Only"/>
    <s v="September"/>
    <s v="Q2"/>
    <x v="1"/>
    <n v="5891"/>
    <n v="5167"/>
    <n v="524"/>
    <n v="334"/>
    <n v="190"/>
    <n v="56.886227544910184"/>
    <s v="Q22020-21"/>
    <n v="724"/>
    <n v="2707508"/>
  </r>
  <r>
    <x v="1"/>
    <s v="BS4 Only"/>
    <s v="October"/>
    <s v="Q3"/>
    <x v="1"/>
    <n v="6725"/>
    <n v="6192"/>
    <n v="368"/>
    <n v="334"/>
    <n v="34"/>
    <n v="10.179640718562874"/>
    <s v="Q32020-21"/>
    <n v="533"/>
    <n v="2278656"/>
  </r>
  <r>
    <x v="1"/>
    <s v="BS4 Only"/>
    <s v="November"/>
    <s v="Q3"/>
    <x v="1"/>
    <n v="5779"/>
    <n v="4959"/>
    <n v="546"/>
    <n v="334"/>
    <n v="212"/>
    <n v="63.473053892215567"/>
    <s v="Q32020-21"/>
    <n v="820"/>
    <n v="2707614"/>
  </r>
  <r>
    <x v="1"/>
    <s v="BS4 Only"/>
    <s v="December"/>
    <s v="Q3"/>
    <x v="1"/>
    <n v="5853"/>
    <n v="5544"/>
    <n v="522"/>
    <n v="334"/>
    <n v="188"/>
    <n v="56.287425149700596"/>
    <s v="Q32020-21"/>
    <n v="309"/>
    <n v="2893968"/>
  </r>
  <r>
    <x v="1"/>
    <s v="BS4 Only"/>
    <s v="January"/>
    <s v="Q4"/>
    <x v="1"/>
    <n v="6007"/>
    <n v="5509"/>
    <n v="400"/>
    <n v="334"/>
    <n v="66"/>
    <n v="19.760479041916167"/>
    <s v="Q42020-21"/>
    <n v="498"/>
    <n v="2203600"/>
  </r>
  <r>
    <x v="1"/>
    <s v="BS4 Only"/>
    <s v="February"/>
    <s v="Q4"/>
    <x v="1"/>
    <n v="5907"/>
    <n v="5331"/>
    <n v="517"/>
    <n v="334"/>
    <n v="183"/>
    <n v="54.790419161676652"/>
    <s v="Q42020-21"/>
    <n v="576"/>
    <n v="2756127"/>
  </r>
  <r>
    <x v="1"/>
    <s v="BS4 Only"/>
    <s v="March"/>
    <s v="Q4"/>
    <x v="1"/>
    <n v="6745"/>
    <n v="6331"/>
    <n v="527"/>
    <n v="334"/>
    <n v="193"/>
    <n v="57.784431137724546"/>
    <s v="Q42020-21"/>
    <n v="414"/>
    <n v="3336437"/>
  </r>
  <r>
    <x v="1"/>
    <s v="BS4 Only"/>
    <s v="April"/>
    <s v="Q1"/>
    <x v="2"/>
    <n v="5724"/>
    <n v="5163"/>
    <n v="551"/>
    <n v="334"/>
    <n v="217"/>
    <n v="64.970059880239518"/>
    <s v="Q12021-22"/>
    <n v="561"/>
    <n v="2844813"/>
  </r>
  <r>
    <x v="1"/>
    <s v="BS4 Only"/>
    <s v="May"/>
    <s v="Q1"/>
    <x v="2"/>
    <n v="5661"/>
    <n v="5250"/>
    <n v="516"/>
    <n v="334"/>
    <n v="182"/>
    <n v="54.491017964071851"/>
    <s v="Q12021-22"/>
    <n v="411"/>
    <n v="2709000"/>
  </r>
  <r>
    <x v="1"/>
    <s v="BS4 Only"/>
    <s v="June"/>
    <s v="Q1"/>
    <x v="2"/>
    <n v="6470"/>
    <n v="5716"/>
    <n v="489"/>
    <n v="334"/>
    <n v="155"/>
    <n v="46.407185628742518"/>
    <s v="Q12021-22"/>
    <n v="754"/>
    <n v="2795124"/>
  </r>
  <r>
    <x v="1"/>
    <s v="BS4 Only"/>
    <s v="July"/>
    <s v="Q2"/>
    <x v="2"/>
    <n v="6069"/>
    <n v="5523"/>
    <n v="539"/>
    <n v="334"/>
    <n v="205"/>
    <n v="61.377245508982035"/>
    <s v="Q22021-22"/>
    <n v="546"/>
    <n v="2976897"/>
  </r>
  <r>
    <x v="1"/>
    <s v="BS4 Only"/>
    <s v="August"/>
    <s v="Q2"/>
    <x v="2"/>
    <n v="6166"/>
    <n v="5357"/>
    <n v="469"/>
    <n v="334"/>
    <n v="135"/>
    <n v="40.419161676646709"/>
    <s v="Q22021-22"/>
    <n v="809"/>
    <n v="2512433"/>
  </r>
  <r>
    <x v="2"/>
    <s v="Combination"/>
    <s v="April"/>
    <s v="Q1"/>
    <x v="0"/>
    <n v="6505"/>
    <n v="5858"/>
    <n v="364"/>
    <n v="455"/>
    <n v="-91"/>
    <n v="-20"/>
    <s v="Q12019-20"/>
    <n v="647"/>
    <n v="2132312"/>
  </r>
  <r>
    <x v="2"/>
    <s v="Combination"/>
    <s v="May"/>
    <s v="Q1"/>
    <x v="0"/>
    <n v="5147"/>
    <n v="4816"/>
    <n v="357"/>
    <n v="455"/>
    <n v="-98"/>
    <n v="-21.53846153846154"/>
    <s v="Q12019-20"/>
    <n v="331"/>
    <n v="1719312"/>
  </r>
  <r>
    <x v="2"/>
    <s v="Combination"/>
    <s v="June"/>
    <s v="Q1"/>
    <x v="0"/>
    <n v="5722"/>
    <n v="5059"/>
    <n v="386"/>
    <n v="455"/>
    <n v="-69"/>
    <n v="-15.164835164835164"/>
    <s v="Q12019-20"/>
    <n v="663"/>
    <n v="1952774"/>
  </r>
  <r>
    <x v="2"/>
    <s v="Combination"/>
    <s v="July"/>
    <s v="Q2"/>
    <x v="0"/>
    <n v="6285"/>
    <n v="5601"/>
    <n v="493"/>
    <n v="455"/>
    <n v="38"/>
    <n v="8.3516483516483504"/>
    <s v="Q22019-20"/>
    <n v="684"/>
    <n v="2761293"/>
  </r>
  <r>
    <x v="2"/>
    <s v="Combination"/>
    <s v="August"/>
    <s v="Q2"/>
    <x v="0"/>
    <n v="6087"/>
    <n v="5937"/>
    <n v="560"/>
    <n v="455"/>
    <n v="105"/>
    <n v="23.076923076923077"/>
    <s v="Q22019-20"/>
    <n v="150"/>
    <n v="3324720"/>
  </r>
  <r>
    <x v="2"/>
    <s v="Combination"/>
    <s v="September"/>
    <s v="Q2"/>
    <x v="0"/>
    <n v="5506"/>
    <n v="5222"/>
    <n v="498"/>
    <n v="455"/>
    <n v="43"/>
    <n v="9.4505494505494507"/>
    <s v="Q22019-20"/>
    <n v="284"/>
    <n v="2600556"/>
  </r>
  <r>
    <x v="2"/>
    <s v="Combination"/>
    <s v="October"/>
    <s v="Q3"/>
    <x v="0"/>
    <n v="6341"/>
    <n v="5844"/>
    <n v="448"/>
    <n v="455"/>
    <n v="-7"/>
    <n v="-1.5384615384615385"/>
    <s v="Q32019-20"/>
    <n v="497"/>
    <n v="2618112"/>
  </r>
  <r>
    <x v="2"/>
    <s v="Combination"/>
    <s v="November"/>
    <s v="Q3"/>
    <x v="0"/>
    <n v="5442"/>
    <n v="5154"/>
    <n v="415"/>
    <n v="455"/>
    <n v="-40"/>
    <n v="-8.791208791208792"/>
    <s v="Q32019-20"/>
    <n v="288"/>
    <n v="2138910"/>
  </r>
  <r>
    <x v="2"/>
    <s v="Combination"/>
    <s v="December"/>
    <s v="Q3"/>
    <x v="0"/>
    <n v="5472"/>
    <n v="4824"/>
    <n v="484"/>
    <n v="455"/>
    <n v="29"/>
    <n v="6.3736263736263732"/>
    <s v="Q32019-20"/>
    <n v="648"/>
    <n v="2334816"/>
  </r>
  <r>
    <x v="2"/>
    <s v="Combination"/>
    <s v="January"/>
    <s v="Q4"/>
    <x v="0"/>
    <n v="5890"/>
    <n v="5165"/>
    <n v="372"/>
    <n v="455"/>
    <n v="-83"/>
    <n v="-18.241758241758241"/>
    <s v="Q42019-20"/>
    <n v="725"/>
    <n v="1921380"/>
  </r>
  <r>
    <x v="2"/>
    <s v="Combination"/>
    <s v="February"/>
    <s v="Q4"/>
    <x v="0"/>
    <n v="5481"/>
    <n v="4792"/>
    <n v="334"/>
    <n v="455"/>
    <n v="-121"/>
    <n v="-26.593406593406595"/>
    <s v="Q42019-20"/>
    <n v="689"/>
    <n v="1600528"/>
  </r>
  <r>
    <x v="2"/>
    <s v="Combination"/>
    <s v="March"/>
    <s v="Q4"/>
    <x v="0"/>
    <n v="5281"/>
    <n v="5338"/>
    <n v="338"/>
    <n v="455"/>
    <n v="-117"/>
    <n v="-25.714285714285712"/>
    <s v="Q42019-20"/>
    <n v="-57"/>
    <n v="1804244"/>
  </r>
  <r>
    <x v="2"/>
    <s v="Combination"/>
    <s v="April"/>
    <s v="Q1"/>
    <x v="1"/>
    <n v="5989"/>
    <n v="5773"/>
    <n v="461"/>
    <n v="455"/>
    <n v="6"/>
    <n v="1.3186813186813187"/>
    <s v="Q12020-21"/>
    <n v="216"/>
    <n v="2661353"/>
  </r>
  <r>
    <x v="2"/>
    <s v="Combination"/>
    <s v="May"/>
    <s v="Q1"/>
    <x v="1"/>
    <n v="6232"/>
    <n v="5440"/>
    <n v="532"/>
    <n v="455"/>
    <n v="77"/>
    <n v="16.923076923076923"/>
    <s v="Q12020-21"/>
    <n v="792"/>
    <n v="2894080"/>
  </r>
  <r>
    <x v="2"/>
    <s v="Combination"/>
    <s v="June"/>
    <s v="Q1"/>
    <x v="1"/>
    <n v="6724"/>
    <n v="5949"/>
    <n v="454"/>
    <n v="455"/>
    <n v="-1"/>
    <n v="-0.21978021978021978"/>
    <s v="Q12020-21"/>
    <n v="775"/>
    <n v="2700846"/>
  </r>
  <r>
    <x v="2"/>
    <s v="Combination"/>
    <s v="July"/>
    <s v="Q2"/>
    <x v="1"/>
    <n v="6653"/>
    <n v="6167"/>
    <n v="545"/>
    <n v="455"/>
    <n v="90"/>
    <n v="19.780219780219781"/>
    <s v="Q22020-21"/>
    <n v="486"/>
    <n v="3361015"/>
  </r>
  <r>
    <x v="2"/>
    <s v="Combination"/>
    <s v="August"/>
    <s v="Q2"/>
    <x v="1"/>
    <n v="5410"/>
    <n v="5053"/>
    <n v="411"/>
    <n v="455"/>
    <n v="-44"/>
    <n v="-9.6703296703296715"/>
    <s v="Q22020-21"/>
    <n v="357"/>
    <n v="2076783"/>
  </r>
  <r>
    <x v="2"/>
    <s v="Combination"/>
    <s v="September"/>
    <s v="Q2"/>
    <x v="1"/>
    <n v="5322"/>
    <n v="4954"/>
    <n v="502"/>
    <n v="455"/>
    <n v="47"/>
    <n v="10.329670329670328"/>
    <s v="Q22020-21"/>
    <n v="368"/>
    <n v="2486908"/>
  </r>
  <r>
    <x v="2"/>
    <s v="Combination"/>
    <s v="October"/>
    <s v="Q3"/>
    <x v="1"/>
    <n v="6647"/>
    <n v="6408"/>
    <n v="431"/>
    <n v="455"/>
    <n v="-24"/>
    <n v="-5.2747252747252746"/>
    <s v="Q32020-21"/>
    <n v="239"/>
    <n v="2761848"/>
  </r>
  <r>
    <x v="2"/>
    <s v="Combination"/>
    <s v="November"/>
    <s v="Q3"/>
    <x v="1"/>
    <n v="5170"/>
    <n v="5123"/>
    <n v="540"/>
    <n v="455"/>
    <n v="85"/>
    <n v="18.681318681318682"/>
    <s v="Q32020-21"/>
    <n v="47"/>
    <n v="2766420"/>
  </r>
  <r>
    <x v="2"/>
    <s v="Combination"/>
    <s v="December"/>
    <s v="Q3"/>
    <x v="1"/>
    <n v="5227"/>
    <n v="4954"/>
    <n v="551"/>
    <n v="455"/>
    <n v="96"/>
    <n v="21.098901098901099"/>
    <s v="Q32020-21"/>
    <n v="273"/>
    <n v="2729654"/>
  </r>
  <r>
    <x v="2"/>
    <s v="Combination"/>
    <s v="January"/>
    <s v="Q4"/>
    <x v="1"/>
    <n v="5232"/>
    <n v="5141"/>
    <n v="513"/>
    <n v="455"/>
    <n v="58"/>
    <n v="12.747252747252746"/>
    <s v="Q42020-21"/>
    <n v="91"/>
    <n v="2637333"/>
  </r>
  <r>
    <x v="2"/>
    <s v="Combination"/>
    <s v="February"/>
    <s v="Q4"/>
    <x v="1"/>
    <n v="6726"/>
    <n v="6618"/>
    <n v="428"/>
    <n v="455"/>
    <n v="-27"/>
    <n v="-5.9340659340659334"/>
    <s v="Q42020-21"/>
    <n v="108"/>
    <n v="2832504"/>
  </r>
  <r>
    <x v="2"/>
    <s v="Combination"/>
    <s v="March"/>
    <s v="Q4"/>
    <x v="1"/>
    <n v="6450"/>
    <n v="5661"/>
    <n v="513"/>
    <n v="455"/>
    <n v="58"/>
    <n v="12.747252747252746"/>
    <s v="Q42020-21"/>
    <n v="789"/>
    <n v="2904093"/>
  </r>
  <r>
    <x v="2"/>
    <s v="Combination"/>
    <s v="April"/>
    <s v="Q1"/>
    <x v="2"/>
    <n v="6250"/>
    <n v="5622"/>
    <n v="531"/>
    <n v="455"/>
    <n v="76"/>
    <n v="16.703296703296701"/>
    <s v="Q12021-22"/>
    <n v="628"/>
    <n v="2985282"/>
  </r>
  <r>
    <x v="2"/>
    <s v="Combination"/>
    <s v="May"/>
    <s v="Q1"/>
    <x v="2"/>
    <n v="5075"/>
    <n v="4985"/>
    <n v="388"/>
    <n v="455"/>
    <n v="-67"/>
    <n v="-14.725274725274726"/>
    <s v="Q12021-22"/>
    <n v="90"/>
    <n v="1934180"/>
  </r>
  <r>
    <x v="2"/>
    <s v="Combination"/>
    <s v="June"/>
    <s v="Q1"/>
    <x v="2"/>
    <n v="5267"/>
    <n v="4797"/>
    <n v="454"/>
    <n v="455"/>
    <n v="-1"/>
    <n v="-0.21978021978021978"/>
    <s v="Q12021-22"/>
    <n v="470"/>
    <n v="2177838"/>
  </r>
  <r>
    <x v="2"/>
    <s v="Combination"/>
    <s v="July"/>
    <s v="Q2"/>
    <x v="2"/>
    <n v="5673"/>
    <n v="5112"/>
    <n v="499"/>
    <n v="455"/>
    <n v="44"/>
    <n v="9.6703296703296715"/>
    <s v="Q22021-22"/>
    <n v="561"/>
    <n v="2550888"/>
  </r>
  <r>
    <x v="2"/>
    <s v="Combination"/>
    <s v="August"/>
    <s v="Q2"/>
    <x v="2"/>
    <n v="6151"/>
    <n v="5820"/>
    <n v="423"/>
    <n v="455"/>
    <n v="-32"/>
    <n v="-7.0329670329670328"/>
    <s v="Q22021-22"/>
    <n v="331"/>
    <n v="2461860"/>
  </r>
  <r>
    <x v="3"/>
    <s v="Combination"/>
    <s v="April"/>
    <s v="Q1"/>
    <x v="0"/>
    <n v="5935"/>
    <n v="5353"/>
    <n v="424"/>
    <n v="379"/>
    <n v="45"/>
    <n v="11.87335092348285"/>
    <s v="Q12019-20"/>
    <n v="582"/>
    <n v="2269672"/>
  </r>
  <r>
    <x v="3"/>
    <s v="Combination"/>
    <s v="May"/>
    <s v="Q1"/>
    <x v="0"/>
    <n v="6126"/>
    <n v="5908"/>
    <n v="420"/>
    <n v="379"/>
    <n v="41"/>
    <n v="10.817941952506596"/>
    <s v="Q12019-20"/>
    <n v="218"/>
    <n v="2481360"/>
  </r>
  <r>
    <x v="3"/>
    <s v="Combination"/>
    <s v="June"/>
    <s v="Q1"/>
    <x v="0"/>
    <n v="5985"/>
    <n v="5392"/>
    <n v="419"/>
    <n v="379"/>
    <n v="40"/>
    <n v="10.554089709762533"/>
    <s v="Q12019-20"/>
    <n v="593"/>
    <n v="2259248"/>
  </r>
  <r>
    <x v="3"/>
    <s v="Combination"/>
    <s v="July"/>
    <s v="Q2"/>
    <x v="0"/>
    <n v="6015"/>
    <n v="5623"/>
    <n v="565"/>
    <n v="379"/>
    <n v="186"/>
    <n v="49.076517150395773"/>
    <s v="Q22019-20"/>
    <n v="392"/>
    <n v="3176995"/>
  </r>
  <r>
    <x v="3"/>
    <s v="Combination"/>
    <s v="August"/>
    <s v="Q2"/>
    <x v="0"/>
    <n v="5124"/>
    <n v="4615"/>
    <n v="452"/>
    <n v="379"/>
    <n v="73"/>
    <n v="19.261213720316622"/>
    <s v="Q22019-20"/>
    <n v="509"/>
    <n v="2085980"/>
  </r>
  <r>
    <x v="3"/>
    <s v="Combination"/>
    <s v="September"/>
    <s v="Q2"/>
    <x v="0"/>
    <n v="6528"/>
    <n v="6475"/>
    <n v="427"/>
    <n v="379"/>
    <n v="48"/>
    <n v="12.664907651715041"/>
    <s v="Q22019-20"/>
    <n v="53"/>
    <n v="2764825"/>
  </r>
  <r>
    <x v="3"/>
    <s v="Combination"/>
    <s v="October"/>
    <s v="Q3"/>
    <x v="0"/>
    <n v="6438"/>
    <n v="5922"/>
    <n v="448"/>
    <n v="379"/>
    <n v="69"/>
    <n v="18.20580474934037"/>
    <s v="Q32019-20"/>
    <n v="516"/>
    <n v="2653056"/>
  </r>
  <r>
    <x v="3"/>
    <s v="Combination"/>
    <s v="November"/>
    <s v="Q3"/>
    <x v="0"/>
    <n v="5551"/>
    <n v="5002"/>
    <n v="526"/>
    <n v="379"/>
    <n v="147"/>
    <n v="38.786279683377309"/>
    <s v="Q32019-20"/>
    <n v="549"/>
    <n v="2631052"/>
  </r>
  <r>
    <x v="3"/>
    <s v="Combination"/>
    <s v="December"/>
    <s v="Q3"/>
    <x v="0"/>
    <n v="5892"/>
    <n v="5214"/>
    <n v="386"/>
    <n v="379"/>
    <n v="7"/>
    <n v="1.8469656992084433"/>
    <s v="Q32019-20"/>
    <n v="678"/>
    <n v="2012604"/>
  </r>
  <r>
    <x v="3"/>
    <s v="Combination"/>
    <s v="January"/>
    <s v="Q4"/>
    <x v="0"/>
    <n v="6661"/>
    <n v="6367"/>
    <n v="556"/>
    <n v="379"/>
    <n v="177"/>
    <n v="46.701846965699204"/>
    <s v="Q42019-20"/>
    <n v="294"/>
    <n v="3540052"/>
  </r>
  <r>
    <x v="3"/>
    <s v="Combination"/>
    <s v="February"/>
    <s v="Q4"/>
    <x v="0"/>
    <n v="6836"/>
    <n v="6174"/>
    <n v="503"/>
    <n v="379"/>
    <n v="124"/>
    <n v="32.717678100263853"/>
    <s v="Q42019-20"/>
    <n v="662"/>
    <n v="3105522"/>
  </r>
  <r>
    <x v="3"/>
    <s v="Combination"/>
    <s v="March"/>
    <s v="Q4"/>
    <x v="0"/>
    <n v="6023"/>
    <n v="5530"/>
    <n v="420"/>
    <n v="379"/>
    <n v="41"/>
    <n v="10.817941952506596"/>
    <s v="Q42019-20"/>
    <n v="493"/>
    <n v="2322600"/>
  </r>
  <r>
    <x v="3"/>
    <s v="Combination"/>
    <s v="April"/>
    <s v="Q1"/>
    <x v="1"/>
    <n v="5690"/>
    <n v="5543"/>
    <n v="378"/>
    <n v="379"/>
    <n v="-1"/>
    <n v="-0.26385224274406333"/>
    <s v="Q12020-21"/>
    <n v="147"/>
    <n v="2095254"/>
  </r>
  <r>
    <x v="3"/>
    <s v="Combination"/>
    <s v="May"/>
    <s v="Q1"/>
    <x v="1"/>
    <n v="6114"/>
    <n v="5797"/>
    <n v="435"/>
    <n v="379"/>
    <n v="56"/>
    <n v="14.775725593667547"/>
    <s v="Q12020-21"/>
    <n v="317"/>
    <n v="2521695"/>
  </r>
  <r>
    <x v="3"/>
    <s v="Combination"/>
    <s v="June"/>
    <s v="Q1"/>
    <x v="1"/>
    <n v="6704"/>
    <n v="6321"/>
    <n v="525"/>
    <n v="379"/>
    <n v="146"/>
    <n v="38.522427440633244"/>
    <s v="Q12020-21"/>
    <n v="383"/>
    <n v="3318525"/>
  </r>
  <r>
    <x v="3"/>
    <s v="Combination"/>
    <s v="July"/>
    <s v="Q2"/>
    <x v="1"/>
    <n v="6076"/>
    <n v="5585"/>
    <n v="499"/>
    <n v="379"/>
    <n v="120"/>
    <n v="31.662269129287601"/>
    <s v="Q22020-21"/>
    <n v="491"/>
    <n v="2786915"/>
  </r>
  <r>
    <x v="3"/>
    <s v="Combination"/>
    <s v="August"/>
    <s v="Q2"/>
    <x v="1"/>
    <n v="5670"/>
    <n v="4923"/>
    <n v="341"/>
    <n v="379"/>
    <n v="-38"/>
    <n v="-10.026385224274406"/>
    <s v="Q22020-21"/>
    <n v="747"/>
    <n v="1678743"/>
  </r>
  <r>
    <x v="3"/>
    <s v="Combination"/>
    <s v="September"/>
    <s v="Q2"/>
    <x v="1"/>
    <n v="5942"/>
    <n v="5259"/>
    <n v="478"/>
    <n v="379"/>
    <n v="99"/>
    <n v="26.121372031662272"/>
    <s v="Q22020-21"/>
    <n v="683"/>
    <n v="2513802"/>
  </r>
  <r>
    <x v="3"/>
    <s v="Combination"/>
    <s v="October"/>
    <s v="Q3"/>
    <x v="1"/>
    <n v="5598"/>
    <n v="5348"/>
    <n v="448"/>
    <n v="379"/>
    <n v="69"/>
    <n v="18.20580474934037"/>
    <s v="Q32020-21"/>
    <n v="250"/>
    <n v="2395904"/>
  </r>
  <r>
    <x v="3"/>
    <s v="Combination"/>
    <s v="November"/>
    <s v="Q3"/>
    <x v="1"/>
    <n v="5417"/>
    <n v="4926"/>
    <n v="466"/>
    <n v="379"/>
    <n v="87"/>
    <n v="22.955145118733508"/>
    <s v="Q32020-21"/>
    <n v="491"/>
    <n v="2295516"/>
  </r>
  <r>
    <x v="3"/>
    <s v="Combination"/>
    <s v="December"/>
    <s v="Q3"/>
    <x v="1"/>
    <n v="5185"/>
    <n v="5006"/>
    <n v="488"/>
    <n v="379"/>
    <n v="109"/>
    <n v="28.759894459102902"/>
    <s v="Q32020-21"/>
    <n v="179"/>
    <n v="2442928"/>
  </r>
  <r>
    <x v="3"/>
    <s v="Combination"/>
    <s v="January"/>
    <s v="Q4"/>
    <x v="1"/>
    <n v="6444"/>
    <n v="5803"/>
    <n v="404"/>
    <n v="379"/>
    <n v="25"/>
    <n v="6.5963060686015833"/>
    <s v="Q42020-21"/>
    <n v="641"/>
    <n v="2344412"/>
  </r>
  <r>
    <x v="3"/>
    <s v="Combination"/>
    <s v="February"/>
    <s v="Q4"/>
    <x v="1"/>
    <n v="5409"/>
    <n v="5111"/>
    <n v="535"/>
    <n v="379"/>
    <n v="156"/>
    <n v="41.160949868073878"/>
    <s v="Q42020-21"/>
    <n v="298"/>
    <n v="2734385"/>
  </r>
  <r>
    <x v="3"/>
    <s v="Combination"/>
    <s v="March"/>
    <s v="Q4"/>
    <x v="1"/>
    <n v="6539"/>
    <n v="6303"/>
    <n v="480"/>
    <n v="379"/>
    <n v="101"/>
    <n v="26.649076517150394"/>
    <s v="Q42020-21"/>
    <n v="236"/>
    <n v="3025440"/>
  </r>
  <r>
    <x v="3"/>
    <s v="Combination"/>
    <s v="April"/>
    <s v="Q1"/>
    <x v="2"/>
    <n v="5478"/>
    <n v="5223"/>
    <n v="513"/>
    <n v="379"/>
    <n v="134"/>
    <n v="35.356200527704488"/>
    <s v="Q12021-22"/>
    <n v="255"/>
    <n v="2679399"/>
  </r>
  <r>
    <x v="3"/>
    <s v="Combination"/>
    <s v="May"/>
    <s v="Q1"/>
    <x v="2"/>
    <n v="5292"/>
    <n v="5054"/>
    <n v="513"/>
    <n v="379"/>
    <n v="134"/>
    <n v="35.356200527704488"/>
    <s v="Q12021-22"/>
    <n v="238"/>
    <n v="2592702"/>
  </r>
  <r>
    <x v="3"/>
    <s v="Combination"/>
    <s v="June"/>
    <s v="Q1"/>
    <x v="2"/>
    <n v="5325"/>
    <n v="5119"/>
    <n v="502"/>
    <n v="379"/>
    <n v="123"/>
    <n v="32.453825857519789"/>
    <s v="Q12021-22"/>
    <n v="206"/>
    <n v="2569738"/>
  </r>
  <r>
    <x v="3"/>
    <s v="Combination"/>
    <s v="July"/>
    <s v="Q2"/>
    <x v="2"/>
    <n v="6496"/>
    <n v="5908"/>
    <n v="566"/>
    <n v="379"/>
    <n v="187"/>
    <n v="49.340369393139845"/>
    <s v="Q22021-22"/>
    <n v="588"/>
    <n v="3343928"/>
  </r>
  <r>
    <x v="3"/>
    <s v="Combination"/>
    <s v="August"/>
    <s v="Q2"/>
    <x v="2"/>
    <n v="5189"/>
    <n v="4807"/>
    <n v="408"/>
    <n v="379"/>
    <n v="29"/>
    <n v="7.6517150395778364"/>
    <s v="Q22021-22"/>
    <n v="382"/>
    <n v="1961256"/>
  </r>
  <r>
    <x v="4"/>
    <s v="BS6 Only"/>
    <s v="April"/>
    <s v="Q1"/>
    <x v="0"/>
    <n v="5443"/>
    <n v="5101"/>
    <n v="361"/>
    <n v="332"/>
    <n v="29"/>
    <n v="8.7349397590361448"/>
    <s v="Q12019-20"/>
    <n v="342"/>
    <n v="1841461"/>
  </r>
  <r>
    <x v="4"/>
    <s v="BS6 Only"/>
    <s v="May"/>
    <s v="Q1"/>
    <x v="0"/>
    <n v="6526"/>
    <n v="5886"/>
    <n v="508"/>
    <n v="332"/>
    <n v="176"/>
    <n v="53.01204819277109"/>
    <s v="Q12019-20"/>
    <n v="640"/>
    <n v="2990088"/>
  </r>
  <r>
    <x v="4"/>
    <s v="BS6 Only"/>
    <s v="June"/>
    <s v="Q1"/>
    <x v="0"/>
    <n v="6445"/>
    <n v="5482"/>
    <n v="367"/>
    <n v="332"/>
    <n v="35"/>
    <n v="10.542168674698797"/>
    <s v="Q12019-20"/>
    <n v="963"/>
    <n v="2011894"/>
  </r>
  <r>
    <x v="4"/>
    <s v="BS6 Only"/>
    <s v="July"/>
    <s v="Q2"/>
    <x v="0"/>
    <n v="5365"/>
    <n v="4683"/>
    <n v="428"/>
    <n v="332"/>
    <n v="96"/>
    <n v="28.915662650602407"/>
    <s v="Q22019-20"/>
    <n v="682"/>
    <n v="2004324"/>
  </r>
  <r>
    <x v="4"/>
    <s v="BS6 Only"/>
    <s v="August"/>
    <s v="Q2"/>
    <x v="0"/>
    <n v="5194"/>
    <n v="5012"/>
    <n v="497"/>
    <n v="332"/>
    <n v="165"/>
    <n v="49.698795180722897"/>
    <s v="Q22019-20"/>
    <n v="182"/>
    <n v="2490964"/>
  </r>
  <r>
    <x v="4"/>
    <s v="BS6 Only"/>
    <s v="September"/>
    <s v="Q2"/>
    <x v="0"/>
    <n v="5545"/>
    <n v="5016"/>
    <n v="524"/>
    <n v="332"/>
    <n v="192"/>
    <n v="57.831325301204814"/>
    <s v="Q22019-20"/>
    <n v="529"/>
    <n v="2628384"/>
  </r>
  <r>
    <x v="4"/>
    <s v="BS6 Only"/>
    <s v="October"/>
    <s v="Q3"/>
    <x v="0"/>
    <n v="5673"/>
    <n v="5525"/>
    <n v="360"/>
    <n v="332"/>
    <n v="28"/>
    <n v="8.4337349397590362"/>
    <s v="Q32019-20"/>
    <n v="148"/>
    <n v="1989000"/>
  </r>
  <r>
    <x v="4"/>
    <s v="BS6 Only"/>
    <s v="November"/>
    <s v="Q3"/>
    <x v="0"/>
    <n v="5406"/>
    <n v="4973"/>
    <n v="471"/>
    <n v="332"/>
    <n v="139"/>
    <n v="41.867469879518069"/>
    <s v="Q32019-20"/>
    <n v="433"/>
    <n v="2342283"/>
  </r>
  <r>
    <x v="4"/>
    <s v="BS6 Only"/>
    <s v="December"/>
    <s v="Q3"/>
    <x v="0"/>
    <n v="5536"/>
    <n v="4710"/>
    <n v="555"/>
    <n v="332"/>
    <n v="223"/>
    <n v="67.168674698795186"/>
    <s v="Q32019-20"/>
    <n v="826"/>
    <n v="2614050"/>
  </r>
  <r>
    <x v="4"/>
    <s v="BS6 Only"/>
    <s v="January"/>
    <s v="Q4"/>
    <x v="0"/>
    <n v="6275"/>
    <n v="5448"/>
    <n v="379"/>
    <n v="332"/>
    <n v="47"/>
    <n v="14.156626506024098"/>
    <s v="Q42019-20"/>
    <n v="827"/>
    <n v="2064792"/>
  </r>
  <r>
    <x v="4"/>
    <s v="BS6 Only"/>
    <s v="February"/>
    <s v="Q4"/>
    <x v="0"/>
    <n v="5125"/>
    <n v="4781"/>
    <n v="412"/>
    <n v="332"/>
    <n v="80"/>
    <n v="24.096385542168676"/>
    <s v="Q42019-20"/>
    <n v="344"/>
    <n v="1969772"/>
  </r>
  <r>
    <x v="4"/>
    <s v="BS6 Only"/>
    <s v="March"/>
    <s v="Q4"/>
    <x v="0"/>
    <n v="5759"/>
    <n v="5769"/>
    <n v="450"/>
    <n v="332"/>
    <n v="118"/>
    <n v="35.542168674698793"/>
    <s v="Q42019-20"/>
    <n v="-10"/>
    <n v="2596050"/>
  </r>
  <r>
    <x v="4"/>
    <s v="BS6 Only"/>
    <s v="April"/>
    <s v="Q1"/>
    <x v="1"/>
    <n v="5908"/>
    <n v="5234"/>
    <n v="424"/>
    <n v="332"/>
    <n v="92"/>
    <n v="27.710843373493976"/>
    <s v="Q12020-21"/>
    <n v="674"/>
    <n v="2219216"/>
  </r>
  <r>
    <x v="4"/>
    <s v="BS6 Only"/>
    <s v="May"/>
    <s v="Q1"/>
    <x v="1"/>
    <n v="5785"/>
    <n v="5110"/>
    <n v="444"/>
    <n v="332"/>
    <n v="112"/>
    <n v="33.734939759036145"/>
    <s v="Q12020-21"/>
    <n v="675"/>
    <n v="2268840"/>
  </r>
  <r>
    <x v="4"/>
    <s v="BS6 Only"/>
    <s v="June"/>
    <s v="Q1"/>
    <x v="1"/>
    <n v="6151"/>
    <n v="5852"/>
    <n v="489"/>
    <n v="332"/>
    <n v="157"/>
    <n v="47.289156626506021"/>
    <s v="Q12020-21"/>
    <n v="299"/>
    <n v="2861628"/>
  </r>
  <r>
    <x v="4"/>
    <s v="BS6 Only"/>
    <s v="July"/>
    <s v="Q2"/>
    <x v="1"/>
    <n v="6775"/>
    <n v="6348"/>
    <n v="388"/>
    <n v="332"/>
    <n v="56"/>
    <n v="16.867469879518072"/>
    <s v="Q22020-21"/>
    <n v="427"/>
    <n v="2463024"/>
  </r>
  <r>
    <x v="4"/>
    <s v="BS6 Only"/>
    <s v="August"/>
    <s v="Q2"/>
    <x v="1"/>
    <n v="5582"/>
    <n v="4706"/>
    <n v="521"/>
    <n v="332"/>
    <n v="189"/>
    <n v="56.92771084337349"/>
    <s v="Q22020-21"/>
    <n v="876"/>
    <n v="2451826"/>
  </r>
  <r>
    <x v="4"/>
    <s v="BS6 Only"/>
    <s v="September"/>
    <s v="Q2"/>
    <x v="1"/>
    <n v="5621"/>
    <n v="5183"/>
    <n v="408"/>
    <n v="332"/>
    <n v="76"/>
    <n v="22.891566265060241"/>
    <s v="Q22020-21"/>
    <n v="438"/>
    <n v="2114664"/>
  </r>
  <r>
    <x v="4"/>
    <s v="BS6 Only"/>
    <s v="October"/>
    <s v="Q3"/>
    <x v="1"/>
    <n v="6105"/>
    <n v="5457"/>
    <n v="453"/>
    <n v="332"/>
    <n v="121"/>
    <n v="36.445783132530117"/>
    <s v="Q32020-21"/>
    <n v="648"/>
    <n v="2472021"/>
  </r>
  <r>
    <x v="4"/>
    <s v="BS6 Only"/>
    <s v="November"/>
    <s v="Q3"/>
    <x v="1"/>
    <n v="6230"/>
    <n v="5792"/>
    <n v="378"/>
    <n v="332"/>
    <n v="46"/>
    <n v="13.855421686746988"/>
    <s v="Q32020-21"/>
    <n v="438"/>
    <n v="2189376"/>
  </r>
  <r>
    <x v="4"/>
    <s v="BS6 Only"/>
    <s v="December"/>
    <s v="Q3"/>
    <x v="1"/>
    <n v="6246"/>
    <n v="6030"/>
    <n v="457"/>
    <n v="332"/>
    <n v="125"/>
    <n v="37.650602409638559"/>
    <s v="Q32020-21"/>
    <n v="216"/>
    <n v="2755710"/>
  </r>
  <r>
    <x v="4"/>
    <s v="BS6 Only"/>
    <s v="January"/>
    <s v="Q4"/>
    <x v="1"/>
    <n v="5796"/>
    <n v="5540"/>
    <n v="499"/>
    <n v="332"/>
    <n v="167"/>
    <n v="50.30120481927711"/>
    <s v="Q42020-21"/>
    <n v="256"/>
    <n v="2764460"/>
  </r>
  <r>
    <x v="4"/>
    <s v="BS6 Only"/>
    <s v="February"/>
    <s v="Q4"/>
    <x v="1"/>
    <n v="5885"/>
    <n v="5418"/>
    <n v="480"/>
    <n v="332"/>
    <n v="148"/>
    <n v="44.578313253012048"/>
    <s v="Q42020-21"/>
    <n v="467"/>
    <n v="2600640"/>
  </r>
  <r>
    <x v="4"/>
    <s v="BS6 Only"/>
    <s v="March"/>
    <s v="Q4"/>
    <x v="1"/>
    <n v="5970"/>
    <n v="5229"/>
    <n v="492"/>
    <n v="332"/>
    <n v="160"/>
    <n v="48.192771084337352"/>
    <s v="Q42020-21"/>
    <n v="741"/>
    <n v="2572668"/>
  </r>
  <r>
    <x v="4"/>
    <s v="BS6 Only"/>
    <s v="April"/>
    <s v="Q1"/>
    <x v="2"/>
    <n v="5601"/>
    <n v="5092"/>
    <n v="494"/>
    <n v="332"/>
    <n v="162"/>
    <n v="48.795180722891565"/>
    <s v="Q12021-22"/>
    <n v="509"/>
    <n v="2515448"/>
  </r>
  <r>
    <x v="4"/>
    <s v="BS6 Only"/>
    <s v="May"/>
    <s v="Q1"/>
    <x v="2"/>
    <n v="5276"/>
    <n v="5000"/>
    <n v="367"/>
    <n v="332"/>
    <n v="35"/>
    <n v="10.542168674698797"/>
    <s v="Q12021-22"/>
    <n v="276"/>
    <n v="1835000"/>
  </r>
  <r>
    <x v="4"/>
    <s v="BS6 Only"/>
    <s v="June"/>
    <s v="Q1"/>
    <x v="2"/>
    <n v="6069"/>
    <n v="5864"/>
    <n v="408"/>
    <n v="332"/>
    <n v="76"/>
    <n v="22.891566265060241"/>
    <s v="Q12021-22"/>
    <n v="205"/>
    <n v="2392512"/>
  </r>
  <r>
    <x v="4"/>
    <s v="BS6 Only"/>
    <s v="July"/>
    <s v="Q2"/>
    <x v="2"/>
    <n v="6231"/>
    <n v="5410"/>
    <n v="454"/>
    <n v="332"/>
    <n v="122"/>
    <n v="36.746987951807228"/>
    <s v="Q22021-22"/>
    <n v="821"/>
    <n v="2456140"/>
  </r>
  <r>
    <x v="4"/>
    <s v="BS6 Only"/>
    <s v="August"/>
    <s v="Q2"/>
    <x v="2"/>
    <n v="5585"/>
    <n v="5132"/>
    <n v="393"/>
    <n v="332"/>
    <n v="61"/>
    <n v="18.373493975903614"/>
    <s v="Q22021-22"/>
    <n v="453"/>
    <n v="2016876"/>
  </r>
  <r>
    <x v="5"/>
    <s v="BS6 Only"/>
    <s v="April"/>
    <s v="Q1"/>
    <x v="0"/>
    <n v="6364"/>
    <n v="6015"/>
    <n v="353"/>
    <n v="428"/>
    <n v="-75"/>
    <n v="-17.523364485981308"/>
    <s v="Q12019-20"/>
    <n v="349"/>
    <n v="2123295"/>
  </r>
  <r>
    <x v="5"/>
    <s v="BS6 Only"/>
    <s v="May"/>
    <s v="Q1"/>
    <x v="0"/>
    <n v="5201"/>
    <n v="5067"/>
    <n v="479"/>
    <n v="428"/>
    <n v="51"/>
    <n v="11.915887850467289"/>
    <s v="Q12019-20"/>
    <n v="134"/>
    <n v="2427093"/>
  </r>
  <r>
    <x v="5"/>
    <s v="BS6 Only"/>
    <s v="June"/>
    <s v="Q1"/>
    <x v="0"/>
    <n v="5762"/>
    <n v="5481"/>
    <n v="465"/>
    <n v="428"/>
    <n v="37"/>
    <n v="8.6448598130841123"/>
    <s v="Q12019-20"/>
    <n v="281"/>
    <n v="2548665"/>
  </r>
  <r>
    <x v="5"/>
    <s v="BS6 Only"/>
    <s v="July"/>
    <s v="Q2"/>
    <x v="0"/>
    <n v="5145"/>
    <n v="4510"/>
    <n v="461"/>
    <n v="428"/>
    <n v="33"/>
    <n v="7.7102803738317753"/>
    <s v="Q22019-20"/>
    <n v="635"/>
    <n v="2079110"/>
  </r>
  <r>
    <x v="5"/>
    <s v="BS6 Only"/>
    <s v="August"/>
    <s v="Q2"/>
    <x v="0"/>
    <n v="5428"/>
    <n v="4990"/>
    <n v="570"/>
    <n v="428"/>
    <n v="142"/>
    <n v="33.177570093457945"/>
    <s v="Q22019-20"/>
    <n v="438"/>
    <n v="2844300"/>
  </r>
  <r>
    <x v="5"/>
    <s v="BS6 Only"/>
    <s v="September"/>
    <s v="Q2"/>
    <x v="0"/>
    <n v="5757"/>
    <n v="5291"/>
    <n v="404"/>
    <n v="428"/>
    <n v="-24"/>
    <n v="-5.6074766355140184"/>
    <s v="Q22019-20"/>
    <n v="466"/>
    <n v="2137564"/>
  </r>
  <r>
    <x v="5"/>
    <s v="BS6 Only"/>
    <s v="October"/>
    <s v="Q3"/>
    <x v="0"/>
    <n v="5944"/>
    <n v="5792"/>
    <n v="570"/>
    <n v="428"/>
    <n v="142"/>
    <n v="33.177570093457945"/>
    <s v="Q32019-20"/>
    <n v="152"/>
    <n v="3301440"/>
  </r>
  <r>
    <x v="5"/>
    <s v="BS6 Only"/>
    <s v="November"/>
    <s v="Q3"/>
    <x v="0"/>
    <n v="5260"/>
    <n v="4566"/>
    <n v="534"/>
    <n v="428"/>
    <n v="106"/>
    <n v="24.766355140186917"/>
    <s v="Q32019-20"/>
    <n v="694"/>
    <n v="2438244"/>
  </r>
  <r>
    <x v="5"/>
    <s v="BS6 Only"/>
    <s v="December"/>
    <s v="Q3"/>
    <x v="0"/>
    <n v="6865"/>
    <n v="6146"/>
    <n v="353"/>
    <n v="428"/>
    <n v="-75"/>
    <n v="-17.523364485981308"/>
    <s v="Q32019-20"/>
    <n v="719"/>
    <n v="2169538"/>
  </r>
  <r>
    <x v="5"/>
    <s v="BS6 Only"/>
    <s v="January"/>
    <s v="Q4"/>
    <x v="0"/>
    <n v="5629"/>
    <n v="5126"/>
    <n v="404"/>
    <n v="428"/>
    <n v="-24"/>
    <n v="-5.6074766355140184"/>
    <s v="Q42019-20"/>
    <n v="503"/>
    <n v="2070904"/>
  </r>
  <r>
    <x v="5"/>
    <s v="BS6 Only"/>
    <s v="February"/>
    <s v="Q4"/>
    <x v="0"/>
    <n v="5584"/>
    <n v="4990"/>
    <n v="508"/>
    <n v="428"/>
    <n v="80"/>
    <n v="18.691588785046729"/>
    <s v="Q42019-20"/>
    <n v="594"/>
    <n v="2534920"/>
  </r>
  <r>
    <x v="5"/>
    <s v="BS6 Only"/>
    <s v="March"/>
    <s v="Q4"/>
    <x v="0"/>
    <n v="6229"/>
    <n v="5614"/>
    <n v="436"/>
    <n v="428"/>
    <n v="8"/>
    <n v="1.8691588785046727"/>
    <s v="Q42019-20"/>
    <n v="615"/>
    <n v="2447704"/>
  </r>
  <r>
    <x v="5"/>
    <s v="BS6 Only"/>
    <s v="April"/>
    <s v="Q1"/>
    <x v="1"/>
    <n v="5332"/>
    <n v="4861"/>
    <n v="529"/>
    <n v="428"/>
    <n v="101"/>
    <n v="23.598130841121495"/>
    <s v="Q12020-21"/>
    <n v="471"/>
    <n v="2571469"/>
  </r>
  <r>
    <x v="5"/>
    <s v="BS6 Only"/>
    <s v="May"/>
    <s v="Q1"/>
    <x v="1"/>
    <n v="5968"/>
    <n v="5868"/>
    <n v="469"/>
    <n v="428"/>
    <n v="41"/>
    <n v="9.5794392523364476"/>
    <s v="Q12020-21"/>
    <n v="100"/>
    <n v="2752092"/>
  </r>
  <r>
    <x v="5"/>
    <s v="BS6 Only"/>
    <s v="June"/>
    <s v="Q1"/>
    <x v="1"/>
    <n v="6761"/>
    <n v="5757"/>
    <n v="367"/>
    <n v="428"/>
    <n v="-61"/>
    <n v="-14.252336448598129"/>
    <s v="Q12020-21"/>
    <n v="1004"/>
    <n v="2112819"/>
  </r>
  <r>
    <x v="5"/>
    <s v="BS6 Only"/>
    <s v="July"/>
    <s v="Q2"/>
    <x v="1"/>
    <n v="6566"/>
    <n v="6325"/>
    <n v="566"/>
    <n v="428"/>
    <n v="138"/>
    <n v="32.242990654205606"/>
    <s v="Q22020-21"/>
    <n v="241"/>
    <n v="3579950"/>
  </r>
  <r>
    <x v="5"/>
    <s v="BS6 Only"/>
    <s v="August"/>
    <s v="Q2"/>
    <x v="1"/>
    <n v="6080"/>
    <n v="5586"/>
    <n v="502"/>
    <n v="428"/>
    <n v="74"/>
    <n v="17.289719626168225"/>
    <s v="Q22020-21"/>
    <n v="494"/>
    <n v="2804172"/>
  </r>
  <r>
    <x v="5"/>
    <s v="BS6 Only"/>
    <s v="September"/>
    <s v="Q2"/>
    <x v="1"/>
    <n v="5448"/>
    <n v="5004"/>
    <n v="360"/>
    <n v="428"/>
    <n v="-68"/>
    <n v="-15.887850467289718"/>
    <s v="Q22020-21"/>
    <n v="444"/>
    <n v="1801440"/>
  </r>
  <r>
    <x v="5"/>
    <s v="BS6 Only"/>
    <s v="October"/>
    <s v="Q3"/>
    <x v="1"/>
    <n v="6410"/>
    <n v="6070"/>
    <n v="492"/>
    <n v="428"/>
    <n v="64"/>
    <n v="14.953271028037381"/>
    <s v="Q32020-21"/>
    <n v="340"/>
    <n v="2986440"/>
  </r>
  <r>
    <x v="5"/>
    <s v="BS6 Only"/>
    <s v="November"/>
    <s v="Q3"/>
    <x v="1"/>
    <n v="5630"/>
    <n v="4835"/>
    <n v="408"/>
    <n v="428"/>
    <n v="-20"/>
    <n v="-4.6728971962616823"/>
    <s v="Q32020-21"/>
    <n v="795"/>
    <n v="1972680"/>
  </r>
  <r>
    <x v="5"/>
    <s v="BS6 Only"/>
    <s v="December"/>
    <s v="Q3"/>
    <x v="1"/>
    <n v="6832"/>
    <n v="6666"/>
    <n v="531"/>
    <n v="428"/>
    <n v="103"/>
    <n v="24.065420560747665"/>
    <s v="Q32020-21"/>
    <n v="166"/>
    <n v="3539646"/>
  </r>
  <r>
    <x v="5"/>
    <s v="BS6 Only"/>
    <s v="January"/>
    <s v="Q4"/>
    <x v="1"/>
    <n v="6440"/>
    <n v="5630"/>
    <n v="441"/>
    <n v="428"/>
    <n v="13"/>
    <n v="3.0373831775700935"/>
    <s v="Q42020-21"/>
    <n v="810"/>
    <n v="2482830"/>
  </r>
  <r>
    <x v="5"/>
    <s v="BS6 Only"/>
    <s v="February"/>
    <s v="Q4"/>
    <x v="1"/>
    <n v="5367"/>
    <n v="4985"/>
    <n v="374"/>
    <n v="428"/>
    <n v="-54"/>
    <n v="-12.616822429906541"/>
    <s v="Q42020-21"/>
    <n v="382"/>
    <n v="1864390"/>
  </r>
  <r>
    <x v="5"/>
    <s v="BS6 Only"/>
    <s v="March"/>
    <s v="Q4"/>
    <x v="1"/>
    <n v="5865"/>
    <n v="5653"/>
    <n v="341"/>
    <n v="428"/>
    <n v="-87"/>
    <n v="-20.327102803738317"/>
    <s v="Q42020-21"/>
    <n v="212"/>
    <n v="1927673"/>
  </r>
  <r>
    <x v="5"/>
    <s v="BS6 Only"/>
    <s v="April"/>
    <s v="Q1"/>
    <x v="2"/>
    <n v="6737"/>
    <n v="6427"/>
    <n v="550"/>
    <n v="428"/>
    <n v="122"/>
    <n v="28.504672897196258"/>
    <s v="Q12021-22"/>
    <n v="310"/>
    <n v="3534850"/>
  </r>
  <r>
    <x v="5"/>
    <s v="BS6 Only"/>
    <s v="May"/>
    <s v="Q1"/>
    <x v="2"/>
    <n v="5816"/>
    <n v="5239"/>
    <n v="540"/>
    <n v="428"/>
    <n v="112"/>
    <n v="26.168224299065418"/>
    <s v="Q12021-22"/>
    <n v="577"/>
    <n v="2829060"/>
  </r>
  <r>
    <x v="5"/>
    <s v="BS6 Only"/>
    <s v="June"/>
    <s v="Q1"/>
    <x v="2"/>
    <n v="5353"/>
    <n v="4921"/>
    <n v="555"/>
    <n v="428"/>
    <n v="127"/>
    <n v="29.672897196261683"/>
    <s v="Q12021-22"/>
    <n v="432"/>
    <n v="2731155"/>
  </r>
  <r>
    <x v="5"/>
    <s v="BS6 Only"/>
    <s v="July"/>
    <s v="Q2"/>
    <x v="2"/>
    <n v="6048"/>
    <n v="5616"/>
    <n v="390"/>
    <n v="428"/>
    <n v="-38"/>
    <n v="-8.8785046728971952"/>
    <s v="Q22021-22"/>
    <n v="432"/>
    <n v="2190240"/>
  </r>
  <r>
    <x v="5"/>
    <s v="BS6 Only"/>
    <s v="August"/>
    <s v="Q2"/>
    <x v="2"/>
    <n v="6145"/>
    <n v="5647"/>
    <n v="489"/>
    <n v="428"/>
    <n v="61"/>
    <n v="14.252336448598129"/>
    <s v="Q22021-22"/>
    <n v="498"/>
    <n v="276138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8CB94A-3C9D-40CC-817C-E071C1CD7799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10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unit margin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E5F7B9-F6E6-419B-80D1-46DF97DF7507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11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% unit margin" fld="1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CBF4D1-3AA7-4E9C-8152-1CAE7F076445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0"/>
        <item x="4"/>
        <item x="8"/>
        <item x="1"/>
        <item x="5"/>
        <item x="9"/>
        <item x="2"/>
        <item x="6"/>
        <item x="3"/>
        <item x="7"/>
        <item t="default"/>
      </items>
    </pivotField>
    <pivotField dataField="1" showAll="0"/>
  </pivotFields>
  <rowFields count="1">
    <field x="1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Ending Inventory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E6AF37-C5AC-4831-A3EC-A312EEE7D855}" name="PivotTable5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1" firstHeaderRow="1" firstDataRow="2" firstDataCol="1"/>
  <pivotFields count="14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Revenue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9A00E-F3D9-49F3-B2CC-7A9946D1004C}">
  <dimension ref="A3:B10"/>
  <sheetViews>
    <sheetView workbookViewId="0">
      <selection activeCell="A3" sqref="A3:B9"/>
    </sheetView>
  </sheetViews>
  <sheetFormatPr defaultRowHeight="14.5" x14ac:dyDescent="0.35"/>
  <cols>
    <col min="1" max="1" width="21.453125" bestFit="1" customWidth="1"/>
    <col min="2" max="2" width="16.81640625" bestFit="1" customWidth="1"/>
  </cols>
  <sheetData>
    <row r="3" spans="1:2" x14ac:dyDescent="0.35">
      <c r="A3" s="2" t="s">
        <v>58</v>
      </c>
      <c r="B3" t="s">
        <v>61</v>
      </c>
    </row>
    <row r="4" spans="1:2" x14ac:dyDescent="0.35">
      <c r="A4" s="3" t="s">
        <v>8</v>
      </c>
      <c r="B4" s="5">
        <v>1442</v>
      </c>
    </row>
    <row r="5" spans="1:2" x14ac:dyDescent="0.35">
      <c r="A5" s="3" t="s">
        <v>29</v>
      </c>
      <c r="B5" s="5">
        <v>3592</v>
      </c>
    </row>
    <row r="6" spans="1:2" x14ac:dyDescent="0.35">
      <c r="A6" s="3" t="s">
        <v>30</v>
      </c>
      <c r="B6" s="5">
        <v>30</v>
      </c>
    </row>
    <row r="7" spans="1:2" x14ac:dyDescent="0.35">
      <c r="A7" s="3" t="s">
        <v>32</v>
      </c>
      <c r="B7" s="5">
        <v>2534</v>
      </c>
    </row>
    <row r="8" spans="1:2" x14ac:dyDescent="0.35">
      <c r="A8" s="3" t="s">
        <v>33</v>
      </c>
      <c r="B8" s="5">
        <v>3233</v>
      </c>
    </row>
    <row r="9" spans="1:2" x14ac:dyDescent="0.35">
      <c r="A9" s="3" t="s">
        <v>35</v>
      </c>
      <c r="B9" s="5">
        <v>1029</v>
      </c>
    </row>
    <row r="10" spans="1:2" x14ac:dyDescent="0.35">
      <c r="A10" s="3" t="s">
        <v>59</v>
      </c>
      <c r="B10" s="5">
        <v>11860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02B5C-377C-4892-BA89-A5E661BC3163}">
  <dimension ref="A3:B10"/>
  <sheetViews>
    <sheetView workbookViewId="0">
      <selection activeCell="A3" sqref="A3:B9"/>
    </sheetView>
  </sheetViews>
  <sheetFormatPr defaultRowHeight="14.5" x14ac:dyDescent="0.35"/>
  <cols>
    <col min="1" max="1" width="21.453125" bestFit="1" customWidth="1"/>
    <col min="2" max="2" width="22" bestFit="1" customWidth="1"/>
  </cols>
  <sheetData>
    <row r="3" spans="1:2" x14ac:dyDescent="0.35">
      <c r="A3" s="2" t="s">
        <v>58</v>
      </c>
      <c r="B3" t="s">
        <v>65</v>
      </c>
    </row>
    <row r="4" spans="1:2" x14ac:dyDescent="0.35">
      <c r="A4" s="3" t="s">
        <v>8</v>
      </c>
      <c r="B4" s="5">
        <v>12.431034482758621</v>
      </c>
    </row>
    <row r="5" spans="1:2" x14ac:dyDescent="0.35">
      <c r="A5" s="3" t="s">
        <v>29</v>
      </c>
      <c r="B5" s="5">
        <v>37.084451786083015</v>
      </c>
    </row>
    <row r="6" spans="1:2" x14ac:dyDescent="0.35">
      <c r="A6" s="3" t="s">
        <v>30</v>
      </c>
      <c r="B6" s="5">
        <v>0.2273588480485029</v>
      </c>
    </row>
    <row r="7" spans="1:2" x14ac:dyDescent="0.35">
      <c r="A7" s="3" t="s">
        <v>32</v>
      </c>
      <c r="B7" s="5">
        <v>23.055227003912293</v>
      </c>
    </row>
    <row r="8" spans="1:2" x14ac:dyDescent="0.35">
      <c r="A8" s="3" t="s">
        <v>33</v>
      </c>
      <c r="B8" s="5">
        <v>33.579144162858327</v>
      </c>
    </row>
    <row r="9" spans="1:2" x14ac:dyDescent="0.35">
      <c r="A9" s="3" t="s">
        <v>35</v>
      </c>
      <c r="B9" s="5">
        <v>8.2903641637125371</v>
      </c>
    </row>
    <row r="10" spans="1:2" x14ac:dyDescent="0.35">
      <c r="A10" s="3" t="s">
        <v>59</v>
      </c>
      <c r="B10" s="5">
        <v>19.111263407895546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D5E71-7142-4055-97D9-37D5022F5C09}">
  <dimension ref="A3:B15"/>
  <sheetViews>
    <sheetView workbookViewId="0">
      <selection activeCell="A11" sqref="A11"/>
    </sheetView>
  </sheetViews>
  <sheetFormatPr defaultRowHeight="14.5" x14ac:dyDescent="0.35"/>
  <cols>
    <col min="1" max="1" width="12.36328125" bestFit="1" customWidth="1"/>
    <col min="2" max="2" width="21.54296875" bestFit="1" customWidth="1"/>
  </cols>
  <sheetData>
    <row r="3" spans="1:2" x14ac:dyDescent="0.35">
      <c r="A3" s="2" t="s">
        <v>58</v>
      </c>
      <c r="B3" t="s">
        <v>78</v>
      </c>
    </row>
    <row r="4" spans="1:2" x14ac:dyDescent="0.35">
      <c r="A4" s="3" t="s">
        <v>68</v>
      </c>
      <c r="B4" s="5">
        <v>8616</v>
      </c>
    </row>
    <row r="5" spans="1:2" x14ac:dyDescent="0.35">
      <c r="A5" s="3" t="s">
        <v>69</v>
      </c>
      <c r="B5" s="5">
        <v>9311</v>
      </c>
    </row>
    <row r="6" spans="1:2" x14ac:dyDescent="0.35">
      <c r="A6" s="3" t="s">
        <v>70</v>
      </c>
      <c r="B6" s="5">
        <v>7466</v>
      </c>
    </row>
    <row r="7" spans="1:2" x14ac:dyDescent="0.35">
      <c r="A7" s="3" t="s">
        <v>71</v>
      </c>
      <c r="B7" s="5">
        <v>7681</v>
      </c>
    </row>
    <row r="8" spans="1:2" x14ac:dyDescent="0.35">
      <c r="A8" s="3" t="s">
        <v>72</v>
      </c>
      <c r="B8" s="5">
        <v>9278</v>
      </c>
    </row>
    <row r="9" spans="1:2" x14ac:dyDescent="0.35">
      <c r="A9" s="3" t="s">
        <v>73</v>
      </c>
      <c r="B9" s="5">
        <v>6601</v>
      </c>
    </row>
    <row r="10" spans="1:2" x14ac:dyDescent="0.35">
      <c r="A10" s="3" t="s">
        <v>74</v>
      </c>
      <c r="B10" s="5">
        <v>7826</v>
      </c>
    </row>
    <row r="11" spans="1:2" x14ac:dyDescent="0.35">
      <c r="A11" s="3" t="s">
        <v>75</v>
      </c>
      <c r="B11" s="5">
        <v>6375</v>
      </c>
    </row>
    <row r="12" spans="1:2" x14ac:dyDescent="0.35">
      <c r="A12" s="3" t="s">
        <v>76</v>
      </c>
      <c r="B12" s="5">
        <v>8751</v>
      </c>
    </row>
    <row r="13" spans="1:2" x14ac:dyDescent="0.35">
      <c r="A13" s="3" t="s">
        <v>77</v>
      </c>
      <c r="B13" s="5">
        <v>7901</v>
      </c>
    </row>
    <row r="14" spans="1:2" x14ac:dyDescent="0.35">
      <c r="A14" s="3" t="s">
        <v>59</v>
      </c>
      <c r="B14" s="5">
        <v>79806</v>
      </c>
    </row>
    <row r="15" spans="1:2" x14ac:dyDescent="0.35">
      <c r="B15">
        <f>MIN(B4:B13)</f>
        <v>6375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EA31E-78FA-45A5-8032-1CC97417722C}">
  <dimension ref="A3:K11"/>
  <sheetViews>
    <sheetView workbookViewId="0">
      <selection activeCell="J11" sqref="J11"/>
    </sheetView>
  </sheetViews>
  <sheetFormatPr defaultRowHeight="14.5" x14ac:dyDescent="0.35"/>
  <cols>
    <col min="1" max="1" width="21.453125" bestFit="1" customWidth="1"/>
    <col min="2" max="2" width="15.26953125" bestFit="1" customWidth="1"/>
    <col min="3" max="3" width="9.81640625" bestFit="1" customWidth="1"/>
    <col min="4" max="4" width="8.81640625" bestFit="1" customWidth="1"/>
    <col min="5" max="5" width="10.7265625" bestFit="1" customWidth="1"/>
    <col min="8" max="8" width="21.453125" bestFit="1" customWidth="1"/>
  </cols>
  <sheetData>
    <row r="3" spans="1:11" x14ac:dyDescent="0.35">
      <c r="A3" s="2" t="s">
        <v>80</v>
      </c>
      <c r="B3" s="2" t="s">
        <v>60</v>
      </c>
    </row>
    <row r="4" spans="1:11" x14ac:dyDescent="0.35">
      <c r="A4" s="2" t="s">
        <v>58</v>
      </c>
      <c r="B4" t="s">
        <v>12</v>
      </c>
      <c r="C4" t="s">
        <v>27</v>
      </c>
      <c r="D4" t="s">
        <v>28</v>
      </c>
      <c r="E4" t="s">
        <v>59</v>
      </c>
      <c r="H4" s="4" t="s">
        <v>58</v>
      </c>
      <c r="I4" s="4" t="s">
        <v>12</v>
      </c>
      <c r="J4" s="4" t="s">
        <v>27</v>
      </c>
      <c r="K4" s="6" t="s">
        <v>81</v>
      </c>
    </row>
    <row r="5" spans="1:11" x14ac:dyDescent="0.35">
      <c r="A5" s="3" t="s">
        <v>8</v>
      </c>
      <c r="B5" s="5">
        <v>29749262</v>
      </c>
      <c r="C5" s="5">
        <v>28723940</v>
      </c>
      <c r="D5" s="5">
        <v>12891734</v>
      </c>
      <c r="E5" s="5">
        <v>71364936</v>
      </c>
      <c r="H5" s="3" t="s">
        <v>8</v>
      </c>
      <c r="I5" s="5">
        <v>29749262</v>
      </c>
      <c r="J5" s="5">
        <v>28723940</v>
      </c>
      <c r="K5">
        <f>(J5-I5)/I5</f>
        <v>-3.4465460017125804E-2</v>
      </c>
    </row>
    <row r="6" spans="1:11" x14ac:dyDescent="0.35">
      <c r="A6" s="3" t="s">
        <v>29</v>
      </c>
      <c r="B6" s="5">
        <v>29682821</v>
      </c>
      <c r="C6" s="5">
        <v>30472849</v>
      </c>
      <c r="D6" s="5">
        <v>13838267</v>
      </c>
      <c r="E6" s="5">
        <v>73993937</v>
      </c>
      <c r="H6" s="3" t="s">
        <v>29</v>
      </c>
      <c r="I6" s="5">
        <v>29682821</v>
      </c>
      <c r="J6" s="5">
        <v>30472849</v>
      </c>
      <c r="K6">
        <f t="shared" ref="K6:K10" si="0">(J6-I6)/I6</f>
        <v>2.661566432651398E-2</v>
      </c>
    </row>
    <row r="7" spans="1:11" x14ac:dyDescent="0.35">
      <c r="A7" s="3" t="s">
        <v>30</v>
      </c>
      <c r="B7" s="5">
        <v>26908957</v>
      </c>
      <c r="C7" s="5">
        <v>32812837</v>
      </c>
      <c r="D7" s="5">
        <v>12110048</v>
      </c>
      <c r="E7" s="5">
        <v>71831842</v>
      </c>
      <c r="H7" s="3" t="s">
        <v>30</v>
      </c>
      <c r="I7" s="5">
        <v>26908957</v>
      </c>
      <c r="J7" s="5">
        <v>32812837</v>
      </c>
      <c r="K7">
        <f t="shared" si="0"/>
        <v>0.21940203776757308</v>
      </c>
    </row>
    <row r="8" spans="1:11" x14ac:dyDescent="0.35">
      <c r="A8" s="3" t="s">
        <v>32</v>
      </c>
      <c r="B8" s="5">
        <v>31302966</v>
      </c>
      <c r="C8" s="5">
        <v>30153519</v>
      </c>
      <c r="D8" s="5">
        <v>13147023</v>
      </c>
      <c r="E8" s="5">
        <v>74603508</v>
      </c>
      <c r="H8" s="3" t="s">
        <v>32</v>
      </c>
      <c r="I8" s="5">
        <v>31302966</v>
      </c>
      <c r="J8" s="5">
        <v>30153519</v>
      </c>
      <c r="K8">
        <f t="shared" si="0"/>
        <v>-3.6720066718278391E-2</v>
      </c>
    </row>
    <row r="9" spans="1:11" x14ac:dyDescent="0.35">
      <c r="A9" s="3" t="s">
        <v>33</v>
      </c>
      <c r="B9" s="5">
        <v>27543062</v>
      </c>
      <c r="C9" s="5">
        <v>29734073</v>
      </c>
      <c r="D9" s="5">
        <v>11215976</v>
      </c>
      <c r="E9" s="5">
        <v>68493111</v>
      </c>
      <c r="H9" s="3" t="s">
        <v>33</v>
      </c>
      <c r="I9" s="5">
        <v>27543062</v>
      </c>
      <c r="J9" s="5">
        <v>29734073</v>
      </c>
      <c r="K9">
        <f t="shared" si="0"/>
        <v>7.9548562901248968E-2</v>
      </c>
    </row>
    <row r="10" spans="1:11" x14ac:dyDescent="0.35">
      <c r="A10" s="3" t="s">
        <v>35</v>
      </c>
      <c r="B10" s="5">
        <v>29122777</v>
      </c>
      <c r="C10" s="5">
        <v>30395601</v>
      </c>
      <c r="D10" s="5">
        <v>14046688</v>
      </c>
      <c r="E10" s="5">
        <v>73565066</v>
      </c>
      <c r="H10" s="3" t="s">
        <v>35</v>
      </c>
      <c r="I10" s="5">
        <v>29122777</v>
      </c>
      <c r="J10" s="5">
        <v>30395601</v>
      </c>
      <c r="K10">
        <f t="shared" si="0"/>
        <v>4.3705447457843737E-2</v>
      </c>
    </row>
    <row r="11" spans="1:11" x14ac:dyDescent="0.35">
      <c r="A11" s="3" t="s">
        <v>59</v>
      </c>
      <c r="B11" s="5">
        <v>174309845</v>
      </c>
      <c r="C11" s="5">
        <v>182292819</v>
      </c>
      <c r="D11" s="5">
        <v>77249736</v>
      </c>
      <c r="E11" s="5">
        <v>433852400</v>
      </c>
      <c r="J11" t="s">
        <v>82</v>
      </c>
      <c r="K11">
        <f>MAX(K5:K10)</f>
        <v>0.21940203776757308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5"/>
  <sheetViews>
    <sheetView workbookViewId="0">
      <selection sqref="A1:N175"/>
    </sheetView>
  </sheetViews>
  <sheetFormatPr defaultRowHeight="14.5" x14ac:dyDescent="0.35"/>
  <cols>
    <col min="1" max="1" width="21.453125" bestFit="1" customWidth="1"/>
    <col min="2" max="2" width="11.54296875" bestFit="1" customWidth="1"/>
    <col min="3" max="3" width="9.90625" bestFit="1" customWidth="1"/>
    <col min="5" max="5" width="9.453125" bestFit="1" customWidth="1"/>
    <col min="6" max="6" width="16.453125" bestFit="1" customWidth="1"/>
    <col min="7" max="7" width="12.6328125" bestFit="1" customWidth="1"/>
    <col min="9" max="9" width="14.08984375" bestFit="1" customWidth="1"/>
    <col min="10" max="10" width="10.36328125" bestFit="1" customWidth="1"/>
    <col min="11" max="11" width="12.453125" bestFit="1" customWidth="1"/>
    <col min="12" max="12" width="12" bestFit="1" customWidth="1"/>
    <col min="13" max="13" width="1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63</v>
      </c>
      <c r="J1" t="s">
        <v>57</v>
      </c>
      <c r="K1" t="s">
        <v>64</v>
      </c>
      <c r="L1" t="s">
        <v>66</v>
      </c>
      <c r="M1" t="s">
        <v>67</v>
      </c>
      <c r="N1" t="s">
        <v>79</v>
      </c>
    </row>
    <row r="2" spans="1:16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6336</v>
      </c>
      <c r="G2">
        <v>5600</v>
      </c>
      <c r="H2">
        <v>432</v>
      </c>
      <c r="I2">
        <f>VLOOKUP(A2, Cost!A:I, 9, FALSE)</f>
        <v>400</v>
      </c>
      <c r="J2">
        <f>H2-I2</f>
        <v>32</v>
      </c>
      <c r="K2">
        <f>(J2/I2)*100</f>
        <v>8</v>
      </c>
      <c r="L2" t="str">
        <f>_xlfn.CONCAT(D2, E2)</f>
        <v>Q12019-20</v>
      </c>
      <c r="M2">
        <f>F2 - G2</f>
        <v>736</v>
      </c>
      <c r="N2">
        <f>G2*H2</f>
        <v>2419200</v>
      </c>
    </row>
    <row r="3" spans="1:16" x14ac:dyDescent="0.35">
      <c r="A3" t="s">
        <v>8</v>
      </c>
      <c r="B3" t="s">
        <v>9</v>
      </c>
      <c r="C3" t="s">
        <v>13</v>
      </c>
      <c r="D3" t="s">
        <v>11</v>
      </c>
      <c r="E3" t="s">
        <v>12</v>
      </c>
      <c r="F3">
        <v>5686</v>
      </c>
      <c r="G3">
        <v>5523</v>
      </c>
      <c r="H3">
        <v>433</v>
      </c>
      <c r="I3">
        <f>VLOOKUP(A3, Cost!A:I, 9, FALSE)</f>
        <v>400</v>
      </c>
      <c r="J3">
        <f t="shared" ref="J3:J66" si="0">H3-I3</f>
        <v>33</v>
      </c>
      <c r="K3">
        <f>(J3/I3)*100</f>
        <v>8.25</v>
      </c>
      <c r="L3" t="str">
        <f t="shared" ref="L3:L66" si="1">_xlfn.CONCAT(D3, E3)</f>
        <v>Q12019-20</v>
      </c>
      <c r="M3">
        <f t="shared" ref="M3:M66" si="2">F3 - G3</f>
        <v>163</v>
      </c>
      <c r="N3">
        <f t="shared" ref="N3:N66" si="3">G3*H3</f>
        <v>2391459</v>
      </c>
    </row>
    <row r="4" spans="1:16" x14ac:dyDescent="0.35">
      <c r="A4" t="s">
        <v>8</v>
      </c>
      <c r="B4" t="s">
        <v>9</v>
      </c>
      <c r="C4" t="s">
        <v>14</v>
      </c>
      <c r="D4" t="s">
        <v>11</v>
      </c>
      <c r="E4" t="s">
        <v>12</v>
      </c>
      <c r="F4">
        <v>6614</v>
      </c>
      <c r="G4">
        <v>5726</v>
      </c>
      <c r="H4">
        <v>498</v>
      </c>
      <c r="I4">
        <f>VLOOKUP(A4, Cost!A:I, 9, FALSE)</f>
        <v>400</v>
      </c>
      <c r="J4">
        <f t="shared" si="0"/>
        <v>98</v>
      </c>
      <c r="K4">
        <f t="shared" ref="K3:K66" si="4">(J4/I4)*100</f>
        <v>24.5</v>
      </c>
      <c r="L4" t="str">
        <f t="shared" si="1"/>
        <v>Q12019-20</v>
      </c>
      <c r="M4">
        <f t="shared" si="2"/>
        <v>888</v>
      </c>
      <c r="N4">
        <f t="shared" si="3"/>
        <v>2851548</v>
      </c>
    </row>
    <row r="5" spans="1:16" x14ac:dyDescent="0.35">
      <c r="A5" t="s">
        <v>8</v>
      </c>
      <c r="B5" t="s">
        <v>9</v>
      </c>
      <c r="C5" t="s">
        <v>15</v>
      </c>
      <c r="D5" t="s">
        <v>16</v>
      </c>
      <c r="E5" t="s">
        <v>12</v>
      </c>
      <c r="F5">
        <v>5470</v>
      </c>
      <c r="G5">
        <v>4916</v>
      </c>
      <c r="H5">
        <v>539</v>
      </c>
      <c r="I5">
        <f>VLOOKUP(A5, Cost!A:I, 9, FALSE)</f>
        <v>400</v>
      </c>
      <c r="J5">
        <f t="shared" si="0"/>
        <v>139</v>
      </c>
      <c r="K5">
        <f t="shared" si="4"/>
        <v>34.75</v>
      </c>
      <c r="L5" t="str">
        <f t="shared" si="1"/>
        <v>Q22019-20</v>
      </c>
      <c r="M5">
        <f t="shared" si="2"/>
        <v>554</v>
      </c>
      <c r="N5">
        <f t="shared" si="3"/>
        <v>2649724</v>
      </c>
    </row>
    <row r="6" spans="1:16" x14ac:dyDescent="0.35">
      <c r="A6" t="s">
        <v>8</v>
      </c>
      <c r="B6" t="s">
        <v>9</v>
      </c>
      <c r="C6" t="s">
        <v>17</v>
      </c>
      <c r="D6" t="s">
        <v>16</v>
      </c>
      <c r="E6" t="s">
        <v>12</v>
      </c>
      <c r="F6">
        <v>6496</v>
      </c>
      <c r="G6">
        <v>6089</v>
      </c>
      <c r="H6">
        <v>463</v>
      </c>
      <c r="I6">
        <f>VLOOKUP(A6, Cost!A:I, 9, FALSE)</f>
        <v>400</v>
      </c>
      <c r="J6">
        <f t="shared" si="0"/>
        <v>63</v>
      </c>
      <c r="K6">
        <f t="shared" si="4"/>
        <v>15.75</v>
      </c>
      <c r="L6" t="str">
        <f t="shared" si="1"/>
        <v>Q22019-20</v>
      </c>
      <c r="M6">
        <f t="shared" si="2"/>
        <v>407</v>
      </c>
      <c r="N6">
        <f t="shared" si="3"/>
        <v>2819207</v>
      </c>
    </row>
    <row r="7" spans="1:16" x14ac:dyDescent="0.35">
      <c r="A7" t="s">
        <v>8</v>
      </c>
      <c r="B7" t="s">
        <v>9</v>
      </c>
      <c r="C7" t="s">
        <v>18</v>
      </c>
      <c r="D7" t="s">
        <v>16</v>
      </c>
      <c r="E7" t="s">
        <v>12</v>
      </c>
      <c r="F7">
        <v>5306</v>
      </c>
      <c r="G7">
        <v>5032</v>
      </c>
      <c r="H7">
        <v>463</v>
      </c>
      <c r="I7">
        <f>VLOOKUP(A7, Cost!A:I, 9, FALSE)</f>
        <v>400</v>
      </c>
      <c r="J7">
        <f t="shared" si="0"/>
        <v>63</v>
      </c>
      <c r="K7">
        <f t="shared" si="4"/>
        <v>15.75</v>
      </c>
      <c r="L7" t="str">
        <f t="shared" si="1"/>
        <v>Q22019-20</v>
      </c>
      <c r="M7">
        <f t="shared" si="2"/>
        <v>274</v>
      </c>
      <c r="N7">
        <f t="shared" si="3"/>
        <v>2329816</v>
      </c>
    </row>
    <row r="8" spans="1:16" x14ac:dyDescent="0.35">
      <c r="A8" t="s">
        <v>8</v>
      </c>
      <c r="B8" t="s">
        <v>9</v>
      </c>
      <c r="C8" t="s">
        <v>19</v>
      </c>
      <c r="D8" t="s">
        <v>20</v>
      </c>
      <c r="E8" t="s">
        <v>12</v>
      </c>
      <c r="F8">
        <v>5725</v>
      </c>
      <c r="G8">
        <v>5478</v>
      </c>
      <c r="H8">
        <v>328</v>
      </c>
      <c r="I8">
        <f>VLOOKUP(A8, Cost!A:I, 9, FALSE)</f>
        <v>400</v>
      </c>
      <c r="J8">
        <f t="shared" si="0"/>
        <v>-72</v>
      </c>
      <c r="K8">
        <f t="shared" si="4"/>
        <v>-18</v>
      </c>
      <c r="L8" t="str">
        <f t="shared" si="1"/>
        <v>Q32019-20</v>
      </c>
      <c r="M8">
        <f t="shared" si="2"/>
        <v>247</v>
      </c>
      <c r="N8">
        <f t="shared" si="3"/>
        <v>1796784</v>
      </c>
    </row>
    <row r="9" spans="1:16" x14ac:dyDescent="0.35">
      <c r="A9" t="s">
        <v>8</v>
      </c>
      <c r="B9" t="s">
        <v>9</v>
      </c>
      <c r="C9" t="s">
        <v>21</v>
      </c>
      <c r="D9" t="s">
        <v>20</v>
      </c>
      <c r="E9" t="s">
        <v>12</v>
      </c>
      <c r="F9">
        <v>5717</v>
      </c>
      <c r="G9">
        <v>5675</v>
      </c>
      <c r="H9">
        <v>408</v>
      </c>
      <c r="I9">
        <f>VLOOKUP(A9, Cost!A:I, 9, FALSE)</f>
        <v>400</v>
      </c>
      <c r="J9">
        <f t="shared" si="0"/>
        <v>8</v>
      </c>
      <c r="K9">
        <f t="shared" si="4"/>
        <v>2</v>
      </c>
      <c r="L9" t="str">
        <f t="shared" si="1"/>
        <v>Q32019-20</v>
      </c>
      <c r="M9">
        <f t="shared" si="2"/>
        <v>42</v>
      </c>
      <c r="N9">
        <f t="shared" si="3"/>
        <v>2315400</v>
      </c>
    </row>
    <row r="10" spans="1:16" x14ac:dyDescent="0.35">
      <c r="A10" t="s">
        <v>8</v>
      </c>
      <c r="B10" t="s">
        <v>9</v>
      </c>
      <c r="C10" t="s">
        <v>22</v>
      </c>
      <c r="D10" t="s">
        <v>20</v>
      </c>
      <c r="E10" t="s">
        <v>12</v>
      </c>
      <c r="F10">
        <v>6043</v>
      </c>
      <c r="G10">
        <v>5489</v>
      </c>
      <c r="H10">
        <v>341</v>
      </c>
      <c r="I10">
        <f>VLOOKUP(A10, Cost!A:I, 9, FALSE)</f>
        <v>400</v>
      </c>
      <c r="J10">
        <f t="shared" si="0"/>
        <v>-59</v>
      </c>
      <c r="K10">
        <f t="shared" si="4"/>
        <v>-14.75</v>
      </c>
      <c r="L10" t="str">
        <f t="shared" si="1"/>
        <v>Q32019-20</v>
      </c>
      <c r="M10">
        <f t="shared" si="2"/>
        <v>554</v>
      </c>
      <c r="N10">
        <f t="shared" si="3"/>
        <v>1871749</v>
      </c>
      <c r="P10" t="s">
        <v>56</v>
      </c>
    </row>
    <row r="11" spans="1:16" x14ac:dyDescent="0.35">
      <c r="A11" t="s">
        <v>8</v>
      </c>
      <c r="B11" t="s">
        <v>9</v>
      </c>
      <c r="C11" t="s">
        <v>23</v>
      </c>
      <c r="D11" t="s">
        <v>24</v>
      </c>
      <c r="E11" t="s">
        <v>12</v>
      </c>
      <c r="F11">
        <v>6454</v>
      </c>
      <c r="G11">
        <v>5869</v>
      </c>
      <c r="H11">
        <v>527</v>
      </c>
      <c r="I11">
        <f>VLOOKUP(A11, Cost!A:I, 9, FALSE)</f>
        <v>400</v>
      </c>
      <c r="J11">
        <f t="shared" si="0"/>
        <v>127</v>
      </c>
      <c r="K11">
        <f t="shared" si="4"/>
        <v>31.75</v>
      </c>
      <c r="L11" t="str">
        <f t="shared" si="1"/>
        <v>Q42019-20</v>
      </c>
      <c r="M11">
        <f t="shared" si="2"/>
        <v>585</v>
      </c>
      <c r="N11">
        <f t="shared" si="3"/>
        <v>3092963</v>
      </c>
      <c r="P11">
        <f>_xlfn.MAXIFS(H2:H175, B2:B175, "BS4 Only", D2:D175, "Q1")</f>
        <v>562</v>
      </c>
    </row>
    <row r="12" spans="1:16" x14ac:dyDescent="0.35">
      <c r="A12" t="s">
        <v>8</v>
      </c>
      <c r="B12" t="s">
        <v>9</v>
      </c>
      <c r="C12" t="s">
        <v>25</v>
      </c>
      <c r="D12" t="s">
        <v>24</v>
      </c>
      <c r="E12" t="s">
        <v>12</v>
      </c>
      <c r="F12">
        <v>6747</v>
      </c>
      <c r="G12">
        <v>6019</v>
      </c>
      <c r="H12">
        <v>448</v>
      </c>
      <c r="I12">
        <f>VLOOKUP(A12, Cost!A:I, 9, FALSE)</f>
        <v>400</v>
      </c>
      <c r="J12">
        <f t="shared" si="0"/>
        <v>48</v>
      </c>
      <c r="K12">
        <f t="shared" si="4"/>
        <v>12</v>
      </c>
      <c r="L12" t="str">
        <f t="shared" si="1"/>
        <v>Q42019-20</v>
      </c>
      <c r="M12">
        <f t="shared" si="2"/>
        <v>728</v>
      </c>
      <c r="N12">
        <f t="shared" si="3"/>
        <v>2696512</v>
      </c>
      <c r="P12" t="str">
        <f>INDEX(A2:A175, MATCH(_xlfn.MAXIFS(H2:H175, B2:B175, "BS4 Only", D2:D175, "Q1"), H2:H175, 0))</f>
        <v>Gear Assembly 1 (BS4)</v>
      </c>
    </row>
    <row r="13" spans="1:16" x14ac:dyDescent="0.35">
      <c r="A13" t="s">
        <v>8</v>
      </c>
      <c r="B13" t="s">
        <v>9</v>
      </c>
      <c r="C13" t="s">
        <v>26</v>
      </c>
      <c r="D13" t="s">
        <v>24</v>
      </c>
      <c r="E13" t="s">
        <v>12</v>
      </c>
      <c r="F13">
        <v>6690</v>
      </c>
      <c r="G13">
        <v>6225</v>
      </c>
      <c r="H13">
        <v>404</v>
      </c>
      <c r="I13">
        <f>VLOOKUP(A13, Cost!A:I, 9, FALSE)</f>
        <v>400</v>
      </c>
      <c r="J13">
        <f t="shared" si="0"/>
        <v>4</v>
      </c>
      <c r="K13">
        <f t="shared" si="4"/>
        <v>1</v>
      </c>
      <c r="L13" t="str">
        <f t="shared" si="1"/>
        <v>Q42019-20</v>
      </c>
      <c r="M13">
        <f t="shared" si="2"/>
        <v>465</v>
      </c>
      <c r="N13">
        <f t="shared" si="3"/>
        <v>2514900</v>
      </c>
    </row>
    <row r="14" spans="1:16" x14ac:dyDescent="0.35">
      <c r="A14" t="s">
        <v>8</v>
      </c>
      <c r="B14" t="s">
        <v>9</v>
      </c>
      <c r="C14" t="s">
        <v>10</v>
      </c>
      <c r="D14" t="s">
        <v>11</v>
      </c>
      <c r="E14" t="s">
        <v>27</v>
      </c>
      <c r="F14">
        <v>5232</v>
      </c>
      <c r="G14">
        <v>4858</v>
      </c>
      <c r="H14">
        <v>492</v>
      </c>
      <c r="I14">
        <f>VLOOKUP(A14, Cost!A:I, 9, FALSE)</f>
        <v>400</v>
      </c>
      <c r="J14">
        <f t="shared" si="0"/>
        <v>92</v>
      </c>
      <c r="K14">
        <f t="shared" si="4"/>
        <v>23</v>
      </c>
      <c r="L14" t="str">
        <f t="shared" si="1"/>
        <v>Q12020-21</v>
      </c>
      <c r="M14">
        <f t="shared" si="2"/>
        <v>374</v>
      </c>
      <c r="N14">
        <f t="shared" si="3"/>
        <v>2390136</v>
      </c>
    </row>
    <row r="15" spans="1:16" x14ac:dyDescent="0.35">
      <c r="A15" t="s">
        <v>8</v>
      </c>
      <c r="B15" t="s">
        <v>9</v>
      </c>
      <c r="C15" t="s">
        <v>13</v>
      </c>
      <c r="D15" t="s">
        <v>11</v>
      </c>
      <c r="E15" t="s">
        <v>27</v>
      </c>
      <c r="F15">
        <v>6139</v>
      </c>
      <c r="G15">
        <v>5419</v>
      </c>
      <c r="H15">
        <v>461</v>
      </c>
      <c r="I15">
        <f>VLOOKUP(A15, Cost!A:I, 9, FALSE)</f>
        <v>400</v>
      </c>
      <c r="J15">
        <f t="shared" si="0"/>
        <v>61</v>
      </c>
      <c r="K15">
        <f t="shared" si="4"/>
        <v>15.25</v>
      </c>
      <c r="L15" t="str">
        <f t="shared" si="1"/>
        <v>Q12020-21</v>
      </c>
      <c r="M15">
        <f t="shared" si="2"/>
        <v>720</v>
      </c>
      <c r="N15">
        <f t="shared" si="3"/>
        <v>2498159</v>
      </c>
    </row>
    <row r="16" spans="1:16" x14ac:dyDescent="0.35">
      <c r="A16" t="s">
        <v>8</v>
      </c>
      <c r="B16" t="s">
        <v>9</v>
      </c>
      <c r="C16" t="s">
        <v>14</v>
      </c>
      <c r="D16" t="s">
        <v>11</v>
      </c>
      <c r="E16" t="s">
        <v>27</v>
      </c>
      <c r="F16">
        <v>5392</v>
      </c>
      <c r="G16">
        <v>4768</v>
      </c>
      <c r="H16">
        <v>562</v>
      </c>
      <c r="I16">
        <f>VLOOKUP(A16, Cost!A:I, 9, FALSE)</f>
        <v>400</v>
      </c>
      <c r="J16">
        <f t="shared" si="0"/>
        <v>162</v>
      </c>
      <c r="K16">
        <f t="shared" si="4"/>
        <v>40.5</v>
      </c>
      <c r="L16" t="str">
        <f t="shared" si="1"/>
        <v>Q12020-21</v>
      </c>
      <c r="M16">
        <f t="shared" si="2"/>
        <v>624</v>
      </c>
      <c r="N16">
        <f t="shared" si="3"/>
        <v>2679616</v>
      </c>
    </row>
    <row r="17" spans="1:14" x14ac:dyDescent="0.35">
      <c r="A17" t="s">
        <v>8</v>
      </c>
      <c r="B17" t="s">
        <v>9</v>
      </c>
      <c r="C17" t="s">
        <v>15</v>
      </c>
      <c r="D17" t="s">
        <v>16</v>
      </c>
      <c r="E17" t="s">
        <v>27</v>
      </c>
      <c r="F17">
        <v>6208</v>
      </c>
      <c r="G17">
        <v>5868</v>
      </c>
      <c r="H17">
        <v>367</v>
      </c>
      <c r="I17">
        <f>VLOOKUP(A17, Cost!A:I, 9, FALSE)</f>
        <v>400</v>
      </c>
      <c r="J17">
        <f t="shared" si="0"/>
        <v>-33</v>
      </c>
      <c r="K17">
        <f t="shared" si="4"/>
        <v>-8.25</v>
      </c>
      <c r="L17" t="str">
        <f t="shared" si="1"/>
        <v>Q22020-21</v>
      </c>
      <c r="M17">
        <f t="shared" si="2"/>
        <v>340</v>
      </c>
      <c r="N17">
        <f t="shared" si="3"/>
        <v>2153556</v>
      </c>
    </row>
    <row r="18" spans="1:14" x14ac:dyDescent="0.35">
      <c r="A18" t="s">
        <v>8</v>
      </c>
      <c r="B18" t="s">
        <v>9</v>
      </c>
      <c r="C18" t="s">
        <v>17</v>
      </c>
      <c r="D18" t="s">
        <v>16</v>
      </c>
      <c r="E18" t="s">
        <v>27</v>
      </c>
      <c r="F18">
        <v>6567</v>
      </c>
      <c r="G18">
        <v>5966</v>
      </c>
      <c r="H18">
        <v>341</v>
      </c>
      <c r="I18">
        <f>VLOOKUP(A18, Cost!A:I, 9, FALSE)</f>
        <v>400</v>
      </c>
      <c r="J18">
        <f t="shared" si="0"/>
        <v>-59</v>
      </c>
      <c r="K18">
        <f t="shared" si="4"/>
        <v>-14.75</v>
      </c>
      <c r="L18" t="str">
        <f t="shared" si="1"/>
        <v>Q22020-21</v>
      </c>
      <c r="M18">
        <f t="shared" si="2"/>
        <v>601</v>
      </c>
      <c r="N18">
        <f t="shared" si="3"/>
        <v>2034406</v>
      </c>
    </row>
    <row r="19" spans="1:14" x14ac:dyDescent="0.35">
      <c r="A19" t="s">
        <v>8</v>
      </c>
      <c r="B19" t="s">
        <v>9</v>
      </c>
      <c r="C19" t="s">
        <v>18</v>
      </c>
      <c r="D19" t="s">
        <v>16</v>
      </c>
      <c r="E19" t="s">
        <v>27</v>
      </c>
      <c r="F19">
        <v>6063</v>
      </c>
      <c r="G19">
        <v>5849</v>
      </c>
      <c r="H19">
        <v>525</v>
      </c>
      <c r="I19">
        <f>VLOOKUP(A19, Cost!A:I, 9, FALSE)</f>
        <v>400</v>
      </c>
      <c r="J19">
        <f t="shared" si="0"/>
        <v>125</v>
      </c>
      <c r="K19">
        <f t="shared" si="4"/>
        <v>31.25</v>
      </c>
      <c r="L19" t="str">
        <f t="shared" si="1"/>
        <v>Q22020-21</v>
      </c>
      <c r="M19">
        <f t="shared" si="2"/>
        <v>214</v>
      </c>
      <c r="N19">
        <f t="shared" si="3"/>
        <v>3070725</v>
      </c>
    </row>
    <row r="20" spans="1:14" x14ac:dyDescent="0.35">
      <c r="A20" t="s">
        <v>8</v>
      </c>
      <c r="B20" t="s">
        <v>9</v>
      </c>
      <c r="C20" t="s">
        <v>19</v>
      </c>
      <c r="D20" t="s">
        <v>20</v>
      </c>
      <c r="E20" t="s">
        <v>27</v>
      </c>
      <c r="F20">
        <v>6311</v>
      </c>
      <c r="G20">
        <v>6254</v>
      </c>
      <c r="H20">
        <v>419</v>
      </c>
      <c r="I20">
        <f>VLOOKUP(A20, Cost!A:I, 9, FALSE)</f>
        <v>400</v>
      </c>
      <c r="J20">
        <f t="shared" si="0"/>
        <v>19</v>
      </c>
      <c r="K20">
        <f t="shared" si="4"/>
        <v>4.75</v>
      </c>
      <c r="L20" t="str">
        <f t="shared" si="1"/>
        <v>Q32020-21</v>
      </c>
      <c r="M20">
        <f t="shared" si="2"/>
        <v>57</v>
      </c>
      <c r="N20">
        <f t="shared" si="3"/>
        <v>2620426</v>
      </c>
    </row>
    <row r="21" spans="1:14" x14ac:dyDescent="0.35">
      <c r="A21" t="s">
        <v>8</v>
      </c>
      <c r="B21" t="s">
        <v>9</v>
      </c>
      <c r="C21" t="s">
        <v>21</v>
      </c>
      <c r="D21" t="s">
        <v>20</v>
      </c>
      <c r="E21" t="s">
        <v>27</v>
      </c>
      <c r="F21">
        <v>5220</v>
      </c>
      <c r="G21">
        <v>5082</v>
      </c>
      <c r="H21">
        <v>524</v>
      </c>
      <c r="I21">
        <f>VLOOKUP(A21, Cost!A:I, 9, FALSE)</f>
        <v>400</v>
      </c>
      <c r="J21">
        <f t="shared" si="0"/>
        <v>124</v>
      </c>
      <c r="K21">
        <f t="shared" si="4"/>
        <v>31</v>
      </c>
      <c r="L21" t="str">
        <f t="shared" si="1"/>
        <v>Q32020-21</v>
      </c>
      <c r="M21">
        <f t="shared" si="2"/>
        <v>138</v>
      </c>
      <c r="N21">
        <f t="shared" si="3"/>
        <v>2662968</v>
      </c>
    </row>
    <row r="22" spans="1:14" x14ac:dyDescent="0.35">
      <c r="A22" t="s">
        <v>8</v>
      </c>
      <c r="B22" t="s">
        <v>9</v>
      </c>
      <c r="C22" t="s">
        <v>22</v>
      </c>
      <c r="D22" t="s">
        <v>20</v>
      </c>
      <c r="E22" t="s">
        <v>27</v>
      </c>
      <c r="F22">
        <v>5626</v>
      </c>
      <c r="G22">
        <v>5190</v>
      </c>
      <c r="H22">
        <v>461</v>
      </c>
      <c r="I22">
        <f>VLOOKUP(A22, Cost!A:I, 9, FALSE)</f>
        <v>400</v>
      </c>
      <c r="J22">
        <f t="shared" si="0"/>
        <v>61</v>
      </c>
      <c r="K22">
        <f t="shared" si="4"/>
        <v>15.25</v>
      </c>
      <c r="L22" t="str">
        <f t="shared" si="1"/>
        <v>Q32020-21</v>
      </c>
      <c r="M22">
        <f t="shared" si="2"/>
        <v>436</v>
      </c>
      <c r="N22">
        <f t="shared" si="3"/>
        <v>2392590</v>
      </c>
    </row>
    <row r="23" spans="1:14" x14ac:dyDescent="0.35">
      <c r="A23" t="s">
        <v>8</v>
      </c>
      <c r="B23" t="s">
        <v>9</v>
      </c>
      <c r="C23" t="s">
        <v>23</v>
      </c>
      <c r="D23" t="s">
        <v>24</v>
      </c>
      <c r="E23" t="s">
        <v>27</v>
      </c>
      <c r="F23">
        <v>5832</v>
      </c>
      <c r="G23">
        <v>5270</v>
      </c>
      <c r="H23">
        <v>381</v>
      </c>
      <c r="I23">
        <f>VLOOKUP(A23, Cost!A:I, 9, FALSE)</f>
        <v>400</v>
      </c>
      <c r="J23">
        <f t="shared" si="0"/>
        <v>-19</v>
      </c>
      <c r="K23">
        <f t="shared" si="4"/>
        <v>-4.75</v>
      </c>
      <c r="L23" t="str">
        <f t="shared" si="1"/>
        <v>Q42020-21</v>
      </c>
      <c r="M23">
        <f t="shared" si="2"/>
        <v>562</v>
      </c>
      <c r="N23">
        <f t="shared" si="3"/>
        <v>2007870</v>
      </c>
    </row>
    <row r="24" spans="1:14" x14ac:dyDescent="0.35">
      <c r="A24" t="s">
        <v>8</v>
      </c>
      <c r="B24" t="s">
        <v>9</v>
      </c>
      <c r="C24" t="s">
        <v>25</v>
      </c>
      <c r="D24" t="s">
        <v>24</v>
      </c>
      <c r="E24" t="s">
        <v>27</v>
      </c>
      <c r="F24">
        <v>5592</v>
      </c>
      <c r="G24">
        <v>5241</v>
      </c>
      <c r="H24">
        <v>424</v>
      </c>
      <c r="I24">
        <f>VLOOKUP(A24, Cost!A:I, 9, FALSE)</f>
        <v>400</v>
      </c>
      <c r="J24">
        <f t="shared" si="0"/>
        <v>24</v>
      </c>
      <c r="K24">
        <f t="shared" si="4"/>
        <v>6</v>
      </c>
      <c r="L24" t="str">
        <f t="shared" si="1"/>
        <v>Q42020-21</v>
      </c>
      <c r="M24">
        <f t="shared" si="2"/>
        <v>351</v>
      </c>
      <c r="N24">
        <f t="shared" si="3"/>
        <v>2222184</v>
      </c>
    </row>
    <row r="25" spans="1:14" x14ac:dyDescent="0.35">
      <c r="A25" t="s">
        <v>8</v>
      </c>
      <c r="B25" t="s">
        <v>9</v>
      </c>
      <c r="C25" t="s">
        <v>26</v>
      </c>
      <c r="D25" t="s">
        <v>24</v>
      </c>
      <c r="E25" t="s">
        <v>27</v>
      </c>
      <c r="F25">
        <v>5737</v>
      </c>
      <c r="G25">
        <v>5268</v>
      </c>
      <c r="H25">
        <v>378</v>
      </c>
      <c r="I25">
        <f>VLOOKUP(A25, Cost!A:I, 9, FALSE)</f>
        <v>400</v>
      </c>
      <c r="J25">
        <f t="shared" si="0"/>
        <v>-22</v>
      </c>
      <c r="K25">
        <f t="shared" si="4"/>
        <v>-5.5</v>
      </c>
      <c r="L25" t="str">
        <f t="shared" si="1"/>
        <v>Q42020-21</v>
      </c>
      <c r="M25">
        <f t="shared" si="2"/>
        <v>469</v>
      </c>
      <c r="N25">
        <f t="shared" si="3"/>
        <v>1991304</v>
      </c>
    </row>
    <row r="26" spans="1:14" x14ac:dyDescent="0.35">
      <c r="A26" t="s">
        <v>8</v>
      </c>
      <c r="B26" t="s">
        <v>9</v>
      </c>
      <c r="C26" t="s">
        <v>10</v>
      </c>
      <c r="D26" t="s">
        <v>11</v>
      </c>
      <c r="E26" t="s">
        <v>28</v>
      </c>
      <c r="F26">
        <v>5465</v>
      </c>
      <c r="G26">
        <v>4825</v>
      </c>
      <c r="H26">
        <v>556</v>
      </c>
      <c r="I26">
        <f>VLOOKUP(A26, Cost!A:I, 9, FALSE)</f>
        <v>400</v>
      </c>
      <c r="J26">
        <f t="shared" si="0"/>
        <v>156</v>
      </c>
      <c r="K26">
        <f t="shared" si="4"/>
        <v>39</v>
      </c>
      <c r="L26" t="str">
        <f t="shared" si="1"/>
        <v>Q12021-22</v>
      </c>
      <c r="M26">
        <f t="shared" si="2"/>
        <v>640</v>
      </c>
      <c r="N26">
        <f t="shared" si="3"/>
        <v>2682700</v>
      </c>
    </row>
    <row r="27" spans="1:14" x14ac:dyDescent="0.35">
      <c r="A27" t="s">
        <v>8</v>
      </c>
      <c r="B27" t="s">
        <v>9</v>
      </c>
      <c r="C27" t="s">
        <v>13</v>
      </c>
      <c r="D27" t="s">
        <v>11</v>
      </c>
      <c r="E27" t="s">
        <v>28</v>
      </c>
      <c r="F27">
        <v>5689</v>
      </c>
      <c r="G27">
        <v>5340</v>
      </c>
      <c r="H27">
        <v>433</v>
      </c>
      <c r="I27">
        <f>VLOOKUP(A27, Cost!A:I, 9, FALSE)</f>
        <v>400</v>
      </c>
      <c r="J27">
        <f t="shared" si="0"/>
        <v>33</v>
      </c>
      <c r="K27">
        <f t="shared" si="4"/>
        <v>8.25</v>
      </c>
      <c r="L27" t="str">
        <f t="shared" si="1"/>
        <v>Q12021-22</v>
      </c>
      <c r="M27">
        <f t="shared" si="2"/>
        <v>349</v>
      </c>
      <c r="N27">
        <f t="shared" si="3"/>
        <v>2312220</v>
      </c>
    </row>
    <row r="28" spans="1:14" x14ac:dyDescent="0.35">
      <c r="A28" t="s">
        <v>8</v>
      </c>
      <c r="B28" t="s">
        <v>9</v>
      </c>
      <c r="C28" t="s">
        <v>14</v>
      </c>
      <c r="D28" t="s">
        <v>11</v>
      </c>
      <c r="E28" t="s">
        <v>28</v>
      </c>
      <c r="F28">
        <v>5752</v>
      </c>
      <c r="G28">
        <v>5197</v>
      </c>
      <c r="H28">
        <v>530</v>
      </c>
      <c r="I28">
        <f>VLOOKUP(A28, Cost!A:I, 9, FALSE)</f>
        <v>400</v>
      </c>
      <c r="J28">
        <f t="shared" si="0"/>
        <v>130</v>
      </c>
      <c r="K28">
        <f t="shared" si="4"/>
        <v>32.5</v>
      </c>
      <c r="L28" t="str">
        <f t="shared" si="1"/>
        <v>Q12021-22</v>
      </c>
      <c r="M28">
        <f t="shared" si="2"/>
        <v>555</v>
      </c>
      <c r="N28">
        <f t="shared" si="3"/>
        <v>2754410</v>
      </c>
    </row>
    <row r="29" spans="1:14" x14ac:dyDescent="0.35">
      <c r="A29" t="s">
        <v>8</v>
      </c>
      <c r="B29" t="s">
        <v>9</v>
      </c>
      <c r="C29" t="s">
        <v>15</v>
      </c>
      <c r="D29" t="s">
        <v>16</v>
      </c>
      <c r="E29" t="s">
        <v>28</v>
      </c>
      <c r="F29">
        <v>6668</v>
      </c>
      <c r="G29">
        <v>6061</v>
      </c>
      <c r="H29">
        <v>452</v>
      </c>
      <c r="I29">
        <f>VLOOKUP(A29, Cost!A:I, 9, FALSE)</f>
        <v>400</v>
      </c>
      <c r="J29">
        <f t="shared" si="0"/>
        <v>52</v>
      </c>
      <c r="K29">
        <f t="shared" si="4"/>
        <v>13</v>
      </c>
      <c r="L29" t="str">
        <f t="shared" si="1"/>
        <v>Q22021-22</v>
      </c>
      <c r="M29">
        <f t="shared" si="2"/>
        <v>607</v>
      </c>
      <c r="N29">
        <f t="shared" si="3"/>
        <v>2739572</v>
      </c>
    </row>
    <row r="30" spans="1:14" x14ac:dyDescent="0.35">
      <c r="A30" t="s">
        <v>8</v>
      </c>
      <c r="B30" t="s">
        <v>9</v>
      </c>
      <c r="C30" t="s">
        <v>17</v>
      </c>
      <c r="D30" t="s">
        <v>16</v>
      </c>
      <c r="E30" t="s">
        <v>28</v>
      </c>
      <c r="F30">
        <v>5889</v>
      </c>
      <c r="G30">
        <v>5316</v>
      </c>
      <c r="H30">
        <v>452</v>
      </c>
      <c r="I30">
        <f>VLOOKUP(A30, Cost!A:I, 9, FALSE)</f>
        <v>400</v>
      </c>
      <c r="J30">
        <f t="shared" si="0"/>
        <v>52</v>
      </c>
      <c r="K30">
        <f t="shared" si="4"/>
        <v>13</v>
      </c>
      <c r="L30" t="str">
        <f t="shared" si="1"/>
        <v>Q22021-22</v>
      </c>
      <c r="M30">
        <f t="shared" si="2"/>
        <v>573</v>
      </c>
      <c r="N30">
        <f t="shared" si="3"/>
        <v>2402832</v>
      </c>
    </row>
    <row r="31" spans="1:14" x14ac:dyDescent="0.35">
      <c r="A31" t="s">
        <v>29</v>
      </c>
      <c r="B31" t="s">
        <v>9</v>
      </c>
      <c r="C31" t="s">
        <v>10</v>
      </c>
      <c r="D31" t="s">
        <v>11</v>
      </c>
      <c r="E31" t="s">
        <v>12</v>
      </c>
      <c r="F31">
        <v>6348</v>
      </c>
      <c r="G31">
        <v>6003</v>
      </c>
      <c r="H31">
        <v>347</v>
      </c>
      <c r="I31">
        <f>VLOOKUP(A31, Cost!A:I, 9, FALSE)</f>
        <v>334</v>
      </c>
      <c r="J31">
        <f t="shared" si="0"/>
        <v>13</v>
      </c>
      <c r="K31">
        <f t="shared" si="4"/>
        <v>3.8922155688622757</v>
      </c>
      <c r="L31" t="str">
        <f t="shared" si="1"/>
        <v>Q12019-20</v>
      </c>
      <c r="M31">
        <f t="shared" si="2"/>
        <v>345</v>
      </c>
      <c r="N31">
        <f t="shared" si="3"/>
        <v>2083041</v>
      </c>
    </row>
    <row r="32" spans="1:14" x14ac:dyDescent="0.35">
      <c r="A32" t="s">
        <v>29</v>
      </c>
      <c r="B32" t="s">
        <v>9</v>
      </c>
      <c r="C32" t="s">
        <v>13</v>
      </c>
      <c r="D32" t="s">
        <v>11</v>
      </c>
      <c r="E32" t="s">
        <v>12</v>
      </c>
      <c r="F32">
        <v>5972</v>
      </c>
      <c r="G32">
        <v>5871</v>
      </c>
      <c r="H32">
        <v>396</v>
      </c>
      <c r="I32">
        <f>VLOOKUP(A32, Cost!A:I, 9, FALSE)</f>
        <v>334</v>
      </c>
      <c r="J32">
        <f t="shared" si="0"/>
        <v>62</v>
      </c>
      <c r="K32">
        <f t="shared" si="4"/>
        <v>18.562874251497004</v>
      </c>
      <c r="L32" t="str">
        <f t="shared" si="1"/>
        <v>Q12019-20</v>
      </c>
      <c r="M32">
        <f t="shared" si="2"/>
        <v>101</v>
      </c>
      <c r="N32">
        <f t="shared" si="3"/>
        <v>2324916</v>
      </c>
    </row>
    <row r="33" spans="1:14" x14ac:dyDescent="0.35">
      <c r="A33" t="s">
        <v>29</v>
      </c>
      <c r="B33" t="s">
        <v>9</v>
      </c>
      <c r="C33" t="s">
        <v>14</v>
      </c>
      <c r="D33" t="s">
        <v>11</v>
      </c>
      <c r="E33" t="s">
        <v>12</v>
      </c>
      <c r="F33">
        <v>5866</v>
      </c>
      <c r="G33">
        <v>5226</v>
      </c>
      <c r="H33">
        <v>364</v>
      </c>
      <c r="I33">
        <f>VLOOKUP(A33, Cost!A:I, 9, FALSE)</f>
        <v>334</v>
      </c>
      <c r="J33">
        <f t="shared" si="0"/>
        <v>30</v>
      </c>
      <c r="K33">
        <f t="shared" si="4"/>
        <v>8.9820359281437128</v>
      </c>
      <c r="L33" t="str">
        <f t="shared" si="1"/>
        <v>Q12019-20</v>
      </c>
      <c r="M33">
        <f t="shared" si="2"/>
        <v>640</v>
      </c>
      <c r="N33">
        <f t="shared" si="3"/>
        <v>1902264</v>
      </c>
    </row>
    <row r="34" spans="1:14" x14ac:dyDescent="0.35">
      <c r="A34" t="s">
        <v>29</v>
      </c>
      <c r="B34" t="s">
        <v>9</v>
      </c>
      <c r="C34" t="s">
        <v>15</v>
      </c>
      <c r="D34" t="s">
        <v>16</v>
      </c>
      <c r="E34" t="s">
        <v>12</v>
      </c>
      <c r="F34">
        <v>6385</v>
      </c>
      <c r="G34">
        <v>5861</v>
      </c>
      <c r="H34">
        <v>540</v>
      </c>
      <c r="I34">
        <f>VLOOKUP(A34, Cost!A:I, 9, FALSE)</f>
        <v>334</v>
      </c>
      <c r="J34">
        <f t="shared" si="0"/>
        <v>206</v>
      </c>
      <c r="K34">
        <f t="shared" si="4"/>
        <v>61.676646706586823</v>
      </c>
      <c r="L34" t="str">
        <f t="shared" si="1"/>
        <v>Q22019-20</v>
      </c>
      <c r="M34">
        <f t="shared" si="2"/>
        <v>524</v>
      </c>
      <c r="N34">
        <f t="shared" si="3"/>
        <v>3164940</v>
      </c>
    </row>
    <row r="35" spans="1:14" x14ac:dyDescent="0.35">
      <c r="A35" t="s">
        <v>29</v>
      </c>
      <c r="B35" t="s">
        <v>9</v>
      </c>
      <c r="C35" t="s">
        <v>17</v>
      </c>
      <c r="D35" t="s">
        <v>16</v>
      </c>
      <c r="E35" t="s">
        <v>12</v>
      </c>
      <c r="F35">
        <v>5165</v>
      </c>
      <c r="G35">
        <v>4662</v>
      </c>
      <c r="H35">
        <v>513</v>
      </c>
      <c r="I35">
        <f>VLOOKUP(A35, Cost!A:I, 9, FALSE)</f>
        <v>334</v>
      </c>
      <c r="J35">
        <f t="shared" si="0"/>
        <v>179</v>
      </c>
      <c r="K35">
        <f t="shared" si="4"/>
        <v>53.592814371257482</v>
      </c>
      <c r="L35" t="str">
        <f t="shared" si="1"/>
        <v>Q22019-20</v>
      </c>
      <c r="M35">
        <f t="shared" si="2"/>
        <v>503</v>
      </c>
      <c r="N35">
        <f t="shared" si="3"/>
        <v>2391606</v>
      </c>
    </row>
    <row r="36" spans="1:14" x14ac:dyDescent="0.35">
      <c r="A36" t="s">
        <v>29</v>
      </c>
      <c r="B36" t="s">
        <v>9</v>
      </c>
      <c r="C36" t="s">
        <v>18</v>
      </c>
      <c r="D36" t="s">
        <v>16</v>
      </c>
      <c r="E36" t="s">
        <v>12</v>
      </c>
      <c r="F36">
        <v>6820</v>
      </c>
      <c r="G36">
        <v>6405</v>
      </c>
      <c r="H36">
        <v>498</v>
      </c>
      <c r="I36">
        <f>VLOOKUP(A36, Cost!A:I, 9, FALSE)</f>
        <v>334</v>
      </c>
      <c r="J36">
        <f t="shared" si="0"/>
        <v>164</v>
      </c>
      <c r="K36">
        <f t="shared" si="4"/>
        <v>49.101796407185624</v>
      </c>
      <c r="L36" t="str">
        <f t="shared" si="1"/>
        <v>Q22019-20</v>
      </c>
      <c r="M36">
        <f t="shared" si="2"/>
        <v>415</v>
      </c>
      <c r="N36">
        <f t="shared" si="3"/>
        <v>3189690</v>
      </c>
    </row>
    <row r="37" spans="1:14" x14ac:dyDescent="0.35">
      <c r="A37" t="s">
        <v>29</v>
      </c>
      <c r="B37" t="s">
        <v>9</v>
      </c>
      <c r="C37" t="s">
        <v>19</v>
      </c>
      <c r="D37" t="s">
        <v>20</v>
      </c>
      <c r="E37" t="s">
        <v>12</v>
      </c>
      <c r="F37">
        <v>5827</v>
      </c>
      <c r="G37">
        <v>5890</v>
      </c>
      <c r="H37">
        <v>562</v>
      </c>
      <c r="I37">
        <f>VLOOKUP(A37, Cost!A:I, 9, FALSE)</f>
        <v>334</v>
      </c>
      <c r="J37">
        <f t="shared" si="0"/>
        <v>228</v>
      </c>
      <c r="K37">
        <f t="shared" si="4"/>
        <v>68.263473053892227</v>
      </c>
      <c r="L37" t="str">
        <f t="shared" si="1"/>
        <v>Q32019-20</v>
      </c>
      <c r="M37">
        <f t="shared" si="2"/>
        <v>-63</v>
      </c>
      <c r="N37">
        <f t="shared" si="3"/>
        <v>3310180</v>
      </c>
    </row>
    <row r="38" spans="1:14" x14ac:dyDescent="0.35">
      <c r="A38" t="s">
        <v>29</v>
      </c>
      <c r="B38" t="s">
        <v>9</v>
      </c>
      <c r="C38" t="s">
        <v>21</v>
      </c>
      <c r="D38" t="s">
        <v>20</v>
      </c>
      <c r="E38" t="s">
        <v>12</v>
      </c>
      <c r="F38">
        <v>6533</v>
      </c>
      <c r="G38">
        <v>5944</v>
      </c>
      <c r="H38">
        <v>475</v>
      </c>
      <c r="I38">
        <f>VLOOKUP(A38, Cost!A:I, 9, FALSE)</f>
        <v>334</v>
      </c>
      <c r="J38">
        <f t="shared" si="0"/>
        <v>141</v>
      </c>
      <c r="K38">
        <f t="shared" si="4"/>
        <v>42.215568862275447</v>
      </c>
      <c r="L38" t="str">
        <f t="shared" si="1"/>
        <v>Q32019-20</v>
      </c>
      <c r="M38">
        <f t="shared" si="2"/>
        <v>589</v>
      </c>
      <c r="N38">
        <f t="shared" si="3"/>
        <v>2823400</v>
      </c>
    </row>
    <row r="39" spans="1:14" x14ac:dyDescent="0.35">
      <c r="A39" t="s">
        <v>29</v>
      </c>
      <c r="B39" t="s">
        <v>9</v>
      </c>
      <c r="C39" t="s">
        <v>22</v>
      </c>
      <c r="D39" t="s">
        <v>20</v>
      </c>
      <c r="E39" t="s">
        <v>12</v>
      </c>
      <c r="F39">
        <v>5685</v>
      </c>
      <c r="G39">
        <v>5376</v>
      </c>
      <c r="H39">
        <v>371</v>
      </c>
      <c r="I39">
        <f>VLOOKUP(A39, Cost!A:I, 9, FALSE)</f>
        <v>334</v>
      </c>
      <c r="J39">
        <f t="shared" si="0"/>
        <v>37</v>
      </c>
      <c r="K39">
        <f t="shared" si="4"/>
        <v>11.077844311377245</v>
      </c>
      <c r="L39" t="str">
        <f t="shared" si="1"/>
        <v>Q32019-20</v>
      </c>
      <c r="M39">
        <f t="shared" si="2"/>
        <v>309</v>
      </c>
      <c r="N39">
        <f t="shared" si="3"/>
        <v>1994496</v>
      </c>
    </row>
    <row r="40" spans="1:14" x14ac:dyDescent="0.35">
      <c r="A40" t="s">
        <v>29</v>
      </c>
      <c r="B40" t="s">
        <v>9</v>
      </c>
      <c r="C40" t="s">
        <v>23</v>
      </c>
      <c r="D40" t="s">
        <v>24</v>
      </c>
      <c r="E40" t="s">
        <v>12</v>
      </c>
      <c r="F40">
        <v>6781</v>
      </c>
      <c r="G40">
        <v>6608</v>
      </c>
      <c r="H40">
        <v>360</v>
      </c>
      <c r="I40">
        <f>VLOOKUP(A40, Cost!A:I, 9, FALSE)</f>
        <v>334</v>
      </c>
      <c r="J40">
        <f t="shared" si="0"/>
        <v>26</v>
      </c>
      <c r="K40">
        <f t="shared" si="4"/>
        <v>7.7844311377245514</v>
      </c>
      <c r="L40" t="str">
        <f t="shared" si="1"/>
        <v>Q42019-20</v>
      </c>
      <c r="M40">
        <f t="shared" si="2"/>
        <v>173</v>
      </c>
      <c r="N40">
        <f t="shared" si="3"/>
        <v>2378880</v>
      </c>
    </row>
    <row r="41" spans="1:14" x14ac:dyDescent="0.35">
      <c r="A41" t="s">
        <v>29</v>
      </c>
      <c r="B41" t="s">
        <v>9</v>
      </c>
      <c r="C41" t="s">
        <v>25</v>
      </c>
      <c r="D41" t="s">
        <v>24</v>
      </c>
      <c r="E41" t="s">
        <v>12</v>
      </c>
      <c r="F41">
        <v>5535</v>
      </c>
      <c r="G41">
        <v>5088</v>
      </c>
      <c r="H41">
        <v>404</v>
      </c>
      <c r="I41">
        <f>VLOOKUP(A41, Cost!A:I, 9, FALSE)</f>
        <v>334</v>
      </c>
      <c r="J41">
        <f t="shared" si="0"/>
        <v>70</v>
      </c>
      <c r="K41">
        <f t="shared" si="4"/>
        <v>20.958083832335326</v>
      </c>
      <c r="L41" t="str">
        <f t="shared" si="1"/>
        <v>Q42019-20</v>
      </c>
      <c r="M41">
        <f t="shared" si="2"/>
        <v>447</v>
      </c>
      <c r="N41">
        <f t="shared" si="3"/>
        <v>2055552</v>
      </c>
    </row>
    <row r="42" spans="1:14" x14ac:dyDescent="0.35">
      <c r="A42" t="s">
        <v>29</v>
      </c>
      <c r="B42" t="s">
        <v>9</v>
      </c>
      <c r="C42" t="s">
        <v>26</v>
      </c>
      <c r="D42" t="s">
        <v>24</v>
      </c>
      <c r="E42" t="s">
        <v>12</v>
      </c>
      <c r="F42">
        <v>6222</v>
      </c>
      <c r="G42">
        <v>5548</v>
      </c>
      <c r="H42">
        <v>372</v>
      </c>
      <c r="I42">
        <f>VLOOKUP(A42, Cost!A:I, 9, FALSE)</f>
        <v>334</v>
      </c>
      <c r="J42">
        <f t="shared" si="0"/>
        <v>38</v>
      </c>
      <c r="K42">
        <f t="shared" si="4"/>
        <v>11.377245508982035</v>
      </c>
      <c r="L42" t="str">
        <f t="shared" si="1"/>
        <v>Q42019-20</v>
      </c>
      <c r="M42">
        <f t="shared" si="2"/>
        <v>674</v>
      </c>
      <c r="N42">
        <f t="shared" si="3"/>
        <v>2063856</v>
      </c>
    </row>
    <row r="43" spans="1:14" x14ac:dyDescent="0.35">
      <c r="A43" t="s">
        <v>29</v>
      </c>
      <c r="B43" t="s">
        <v>9</v>
      </c>
      <c r="C43" t="s">
        <v>10</v>
      </c>
      <c r="D43" t="s">
        <v>11</v>
      </c>
      <c r="E43" t="s">
        <v>27</v>
      </c>
      <c r="F43">
        <v>6713</v>
      </c>
      <c r="G43">
        <v>6013</v>
      </c>
      <c r="H43">
        <v>435</v>
      </c>
      <c r="I43">
        <f>VLOOKUP(A43, Cost!A:I, 9, FALSE)</f>
        <v>334</v>
      </c>
      <c r="J43">
        <f t="shared" si="0"/>
        <v>101</v>
      </c>
      <c r="K43">
        <f t="shared" si="4"/>
        <v>30.239520958083833</v>
      </c>
      <c r="L43" t="str">
        <f t="shared" si="1"/>
        <v>Q12020-21</v>
      </c>
      <c r="M43">
        <f t="shared" si="2"/>
        <v>700</v>
      </c>
      <c r="N43">
        <f t="shared" si="3"/>
        <v>2615655</v>
      </c>
    </row>
    <row r="44" spans="1:14" x14ac:dyDescent="0.35">
      <c r="A44" t="s">
        <v>29</v>
      </c>
      <c r="B44" t="s">
        <v>9</v>
      </c>
      <c r="C44" t="s">
        <v>13</v>
      </c>
      <c r="D44" t="s">
        <v>11</v>
      </c>
      <c r="E44" t="s">
        <v>27</v>
      </c>
      <c r="F44">
        <v>6675</v>
      </c>
      <c r="G44">
        <v>6092</v>
      </c>
      <c r="H44">
        <v>341</v>
      </c>
      <c r="I44">
        <f>VLOOKUP(A44, Cost!A:I, 9, FALSE)</f>
        <v>334</v>
      </c>
      <c r="J44">
        <f t="shared" si="0"/>
        <v>7</v>
      </c>
      <c r="K44">
        <f t="shared" si="4"/>
        <v>2.0958083832335328</v>
      </c>
      <c r="L44" t="str">
        <f t="shared" si="1"/>
        <v>Q12020-21</v>
      </c>
      <c r="M44">
        <f t="shared" si="2"/>
        <v>583</v>
      </c>
      <c r="N44">
        <f t="shared" si="3"/>
        <v>2077372</v>
      </c>
    </row>
    <row r="45" spans="1:14" x14ac:dyDescent="0.35">
      <c r="A45" t="s">
        <v>29</v>
      </c>
      <c r="B45" t="s">
        <v>9</v>
      </c>
      <c r="C45" t="s">
        <v>14</v>
      </c>
      <c r="D45" t="s">
        <v>11</v>
      </c>
      <c r="E45" t="s">
        <v>27</v>
      </c>
      <c r="F45">
        <v>6186</v>
      </c>
      <c r="G45">
        <v>5729</v>
      </c>
      <c r="H45">
        <v>488</v>
      </c>
      <c r="I45">
        <f>VLOOKUP(A45, Cost!A:I, 9, FALSE)</f>
        <v>334</v>
      </c>
      <c r="J45">
        <f t="shared" si="0"/>
        <v>154</v>
      </c>
      <c r="K45">
        <f t="shared" si="4"/>
        <v>46.107784431137731</v>
      </c>
      <c r="L45" t="str">
        <f t="shared" si="1"/>
        <v>Q12020-21</v>
      </c>
      <c r="M45">
        <f t="shared" si="2"/>
        <v>457</v>
      </c>
      <c r="N45">
        <f t="shared" si="3"/>
        <v>2795752</v>
      </c>
    </row>
    <row r="46" spans="1:14" x14ac:dyDescent="0.35">
      <c r="A46" t="s">
        <v>29</v>
      </c>
      <c r="B46" t="s">
        <v>9</v>
      </c>
      <c r="C46" t="s">
        <v>15</v>
      </c>
      <c r="D46" t="s">
        <v>16</v>
      </c>
      <c r="E46" t="s">
        <v>27</v>
      </c>
      <c r="F46">
        <v>5038</v>
      </c>
      <c r="G46">
        <v>4538</v>
      </c>
      <c r="H46">
        <v>452</v>
      </c>
      <c r="I46">
        <f>VLOOKUP(A46, Cost!A:I, 9, FALSE)</f>
        <v>334</v>
      </c>
      <c r="J46">
        <f t="shared" si="0"/>
        <v>118</v>
      </c>
      <c r="K46">
        <f t="shared" si="4"/>
        <v>35.32934131736527</v>
      </c>
      <c r="L46" t="str">
        <f t="shared" si="1"/>
        <v>Q22020-21</v>
      </c>
      <c r="M46">
        <f t="shared" si="2"/>
        <v>500</v>
      </c>
      <c r="N46">
        <f t="shared" si="3"/>
        <v>2051176</v>
      </c>
    </row>
    <row r="47" spans="1:14" x14ac:dyDescent="0.35">
      <c r="A47" t="s">
        <v>29</v>
      </c>
      <c r="B47" t="s">
        <v>9</v>
      </c>
      <c r="C47" t="s">
        <v>17</v>
      </c>
      <c r="D47" t="s">
        <v>16</v>
      </c>
      <c r="E47" t="s">
        <v>27</v>
      </c>
      <c r="F47">
        <v>6074</v>
      </c>
      <c r="G47">
        <v>5227</v>
      </c>
      <c r="H47">
        <v>392</v>
      </c>
      <c r="I47">
        <f>VLOOKUP(A47, Cost!A:I, 9, FALSE)</f>
        <v>334</v>
      </c>
      <c r="J47">
        <f t="shared" si="0"/>
        <v>58</v>
      </c>
      <c r="K47">
        <f t="shared" si="4"/>
        <v>17.365269461077844</v>
      </c>
      <c r="L47" t="str">
        <f t="shared" si="1"/>
        <v>Q22020-21</v>
      </c>
      <c r="M47">
        <f t="shared" si="2"/>
        <v>847</v>
      </c>
      <c r="N47">
        <f t="shared" si="3"/>
        <v>2048984</v>
      </c>
    </row>
    <row r="48" spans="1:14" x14ac:dyDescent="0.35">
      <c r="A48" t="s">
        <v>29</v>
      </c>
      <c r="B48" t="s">
        <v>9</v>
      </c>
      <c r="C48" t="s">
        <v>18</v>
      </c>
      <c r="D48" t="s">
        <v>16</v>
      </c>
      <c r="E48" t="s">
        <v>27</v>
      </c>
      <c r="F48">
        <v>5891</v>
      </c>
      <c r="G48">
        <v>5167</v>
      </c>
      <c r="H48">
        <v>524</v>
      </c>
      <c r="I48">
        <f>VLOOKUP(A48, Cost!A:I, 9, FALSE)</f>
        <v>334</v>
      </c>
      <c r="J48">
        <f t="shared" si="0"/>
        <v>190</v>
      </c>
      <c r="K48">
        <f t="shared" si="4"/>
        <v>56.886227544910184</v>
      </c>
      <c r="L48" t="str">
        <f t="shared" si="1"/>
        <v>Q22020-21</v>
      </c>
      <c r="M48">
        <f t="shared" si="2"/>
        <v>724</v>
      </c>
      <c r="N48">
        <f t="shared" si="3"/>
        <v>2707508</v>
      </c>
    </row>
    <row r="49" spans="1:14" x14ac:dyDescent="0.35">
      <c r="A49" t="s">
        <v>29</v>
      </c>
      <c r="B49" t="s">
        <v>9</v>
      </c>
      <c r="C49" t="s">
        <v>19</v>
      </c>
      <c r="D49" t="s">
        <v>20</v>
      </c>
      <c r="E49" t="s">
        <v>27</v>
      </c>
      <c r="F49">
        <v>6725</v>
      </c>
      <c r="G49">
        <v>6192</v>
      </c>
      <c r="H49">
        <v>368</v>
      </c>
      <c r="I49">
        <f>VLOOKUP(A49, Cost!A:I, 9, FALSE)</f>
        <v>334</v>
      </c>
      <c r="J49">
        <f t="shared" si="0"/>
        <v>34</v>
      </c>
      <c r="K49">
        <f t="shared" si="4"/>
        <v>10.179640718562874</v>
      </c>
      <c r="L49" t="str">
        <f t="shared" si="1"/>
        <v>Q32020-21</v>
      </c>
      <c r="M49">
        <f t="shared" si="2"/>
        <v>533</v>
      </c>
      <c r="N49">
        <f t="shared" si="3"/>
        <v>2278656</v>
      </c>
    </row>
    <row r="50" spans="1:14" x14ac:dyDescent="0.35">
      <c r="A50" t="s">
        <v>29</v>
      </c>
      <c r="B50" t="s">
        <v>9</v>
      </c>
      <c r="C50" t="s">
        <v>21</v>
      </c>
      <c r="D50" t="s">
        <v>20</v>
      </c>
      <c r="E50" t="s">
        <v>27</v>
      </c>
      <c r="F50">
        <v>5779</v>
      </c>
      <c r="G50">
        <v>4959</v>
      </c>
      <c r="H50">
        <v>546</v>
      </c>
      <c r="I50">
        <f>VLOOKUP(A50, Cost!A:I, 9, FALSE)</f>
        <v>334</v>
      </c>
      <c r="J50">
        <f t="shared" si="0"/>
        <v>212</v>
      </c>
      <c r="K50">
        <f t="shared" si="4"/>
        <v>63.473053892215567</v>
      </c>
      <c r="L50" t="str">
        <f t="shared" si="1"/>
        <v>Q32020-21</v>
      </c>
      <c r="M50">
        <f t="shared" si="2"/>
        <v>820</v>
      </c>
      <c r="N50">
        <f t="shared" si="3"/>
        <v>2707614</v>
      </c>
    </row>
    <row r="51" spans="1:14" x14ac:dyDescent="0.35">
      <c r="A51" t="s">
        <v>29</v>
      </c>
      <c r="B51" t="s">
        <v>9</v>
      </c>
      <c r="C51" t="s">
        <v>22</v>
      </c>
      <c r="D51" t="s">
        <v>20</v>
      </c>
      <c r="E51" t="s">
        <v>27</v>
      </c>
      <c r="F51">
        <v>5853</v>
      </c>
      <c r="G51">
        <v>5544</v>
      </c>
      <c r="H51">
        <v>522</v>
      </c>
      <c r="I51">
        <f>VLOOKUP(A51, Cost!A:I, 9, FALSE)</f>
        <v>334</v>
      </c>
      <c r="J51">
        <f t="shared" si="0"/>
        <v>188</v>
      </c>
      <c r="K51">
        <f t="shared" si="4"/>
        <v>56.287425149700596</v>
      </c>
      <c r="L51" t="str">
        <f t="shared" si="1"/>
        <v>Q32020-21</v>
      </c>
      <c r="M51">
        <f t="shared" si="2"/>
        <v>309</v>
      </c>
      <c r="N51">
        <f t="shared" si="3"/>
        <v>2893968</v>
      </c>
    </row>
    <row r="52" spans="1:14" x14ac:dyDescent="0.35">
      <c r="A52" t="s">
        <v>29</v>
      </c>
      <c r="B52" t="s">
        <v>9</v>
      </c>
      <c r="C52" t="s">
        <v>23</v>
      </c>
      <c r="D52" t="s">
        <v>24</v>
      </c>
      <c r="E52" t="s">
        <v>27</v>
      </c>
      <c r="F52">
        <v>6007</v>
      </c>
      <c r="G52">
        <v>5509</v>
      </c>
      <c r="H52">
        <v>400</v>
      </c>
      <c r="I52">
        <f>VLOOKUP(A52, Cost!A:I, 9, FALSE)</f>
        <v>334</v>
      </c>
      <c r="J52">
        <f t="shared" si="0"/>
        <v>66</v>
      </c>
      <c r="K52">
        <f t="shared" si="4"/>
        <v>19.760479041916167</v>
      </c>
      <c r="L52" t="str">
        <f t="shared" si="1"/>
        <v>Q42020-21</v>
      </c>
      <c r="M52">
        <f t="shared" si="2"/>
        <v>498</v>
      </c>
      <c r="N52">
        <f t="shared" si="3"/>
        <v>2203600</v>
      </c>
    </row>
    <row r="53" spans="1:14" x14ac:dyDescent="0.35">
      <c r="A53" t="s">
        <v>29</v>
      </c>
      <c r="B53" t="s">
        <v>9</v>
      </c>
      <c r="C53" t="s">
        <v>25</v>
      </c>
      <c r="D53" t="s">
        <v>24</v>
      </c>
      <c r="E53" t="s">
        <v>27</v>
      </c>
      <c r="F53">
        <v>5907</v>
      </c>
      <c r="G53">
        <v>5331</v>
      </c>
      <c r="H53">
        <v>517</v>
      </c>
      <c r="I53">
        <f>VLOOKUP(A53, Cost!A:I, 9, FALSE)</f>
        <v>334</v>
      </c>
      <c r="J53">
        <f t="shared" si="0"/>
        <v>183</v>
      </c>
      <c r="K53">
        <f t="shared" si="4"/>
        <v>54.790419161676652</v>
      </c>
      <c r="L53" t="str">
        <f t="shared" si="1"/>
        <v>Q42020-21</v>
      </c>
      <c r="M53">
        <f t="shared" si="2"/>
        <v>576</v>
      </c>
      <c r="N53">
        <f t="shared" si="3"/>
        <v>2756127</v>
      </c>
    </row>
    <row r="54" spans="1:14" x14ac:dyDescent="0.35">
      <c r="A54" t="s">
        <v>29</v>
      </c>
      <c r="B54" t="s">
        <v>9</v>
      </c>
      <c r="C54" t="s">
        <v>26</v>
      </c>
      <c r="D54" t="s">
        <v>24</v>
      </c>
      <c r="E54" t="s">
        <v>27</v>
      </c>
      <c r="F54">
        <v>6745</v>
      </c>
      <c r="G54">
        <v>6331</v>
      </c>
      <c r="H54">
        <v>527</v>
      </c>
      <c r="I54">
        <f>VLOOKUP(A54, Cost!A:I, 9, FALSE)</f>
        <v>334</v>
      </c>
      <c r="J54">
        <f t="shared" si="0"/>
        <v>193</v>
      </c>
      <c r="K54">
        <f t="shared" si="4"/>
        <v>57.784431137724546</v>
      </c>
      <c r="L54" t="str">
        <f t="shared" si="1"/>
        <v>Q42020-21</v>
      </c>
      <c r="M54">
        <f t="shared" si="2"/>
        <v>414</v>
      </c>
      <c r="N54">
        <f t="shared" si="3"/>
        <v>3336437</v>
      </c>
    </row>
    <row r="55" spans="1:14" x14ac:dyDescent="0.35">
      <c r="A55" t="s">
        <v>29</v>
      </c>
      <c r="B55" t="s">
        <v>9</v>
      </c>
      <c r="C55" t="s">
        <v>10</v>
      </c>
      <c r="D55" t="s">
        <v>11</v>
      </c>
      <c r="E55" t="s">
        <v>28</v>
      </c>
      <c r="F55">
        <v>5724</v>
      </c>
      <c r="G55">
        <v>5163</v>
      </c>
      <c r="H55">
        <v>551</v>
      </c>
      <c r="I55">
        <f>VLOOKUP(A55, Cost!A:I, 9, FALSE)</f>
        <v>334</v>
      </c>
      <c r="J55">
        <f t="shared" si="0"/>
        <v>217</v>
      </c>
      <c r="K55">
        <f t="shared" si="4"/>
        <v>64.970059880239518</v>
      </c>
      <c r="L55" t="str">
        <f t="shared" si="1"/>
        <v>Q12021-22</v>
      </c>
      <c r="M55">
        <f t="shared" si="2"/>
        <v>561</v>
      </c>
      <c r="N55">
        <f t="shared" si="3"/>
        <v>2844813</v>
      </c>
    </row>
    <row r="56" spans="1:14" x14ac:dyDescent="0.35">
      <c r="A56" t="s">
        <v>29</v>
      </c>
      <c r="B56" t="s">
        <v>9</v>
      </c>
      <c r="C56" t="s">
        <v>13</v>
      </c>
      <c r="D56" t="s">
        <v>11</v>
      </c>
      <c r="E56" t="s">
        <v>28</v>
      </c>
      <c r="F56">
        <v>5661</v>
      </c>
      <c r="G56">
        <v>5250</v>
      </c>
      <c r="H56">
        <v>516</v>
      </c>
      <c r="I56">
        <f>VLOOKUP(A56, Cost!A:I, 9, FALSE)</f>
        <v>334</v>
      </c>
      <c r="J56">
        <f t="shared" si="0"/>
        <v>182</v>
      </c>
      <c r="K56">
        <f t="shared" si="4"/>
        <v>54.491017964071851</v>
      </c>
      <c r="L56" t="str">
        <f t="shared" si="1"/>
        <v>Q12021-22</v>
      </c>
      <c r="M56">
        <f t="shared" si="2"/>
        <v>411</v>
      </c>
      <c r="N56">
        <f t="shared" si="3"/>
        <v>2709000</v>
      </c>
    </row>
    <row r="57" spans="1:14" x14ac:dyDescent="0.35">
      <c r="A57" t="s">
        <v>29</v>
      </c>
      <c r="B57" t="s">
        <v>9</v>
      </c>
      <c r="C57" t="s">
        <v>14</v>
      </c>
      <c r="D57" t="s">
        <v>11</v>
      </c>
      <c r="E57" t="s">
        <v>28</v>
      </c>
      <c r="F57">
        <v>6470</v>
      </c>
      <c r="G57">
        <v>5716</v>
      </c>
      <c r="H57">
        <v>489</v>
      </c>
      <c r="I57">
        <f>VLOOKUP(A57, Cost!A:I, 9, FALSE)</f>
        <v>334</v>
      </c>
      <c r="J57">
        <f t="shared" si="0"/>
        <v>155</v>
      </c>
      <c r="K57">
        <f t="shared" si="4"/>
        <v>46.407185628742518</v>
      </c>
      <c r="L57" t="str">
        <f t="shared" si="1"/>
        <v>Q12021-22</v>
      </c>
      <c r="M57">
        <f t="shared" si="2"/>
        <v>754</v>
      </c>
      <c r="N57">
        <f t="shared" si="3"/>
        <v>2795124</v>
      </c>
    </row>
    <row r="58" spans="1:14" x14ac:dyDescent="0.35">
      <c r="A58" t="s">
        <v>29</v>
      </c>
      <c r="B58" t="s">
        <v>9</v>
      </c>
      <c r="C58" t="s">
        <v>15</v>
      </c>
      <c r="D58" t="s">
        <v>16</v>
      </c>
      <c r="E58" t="s">
        <v>28</v>
      </c>
      <c r="F58">
        <v>6069</v>
      </c>
      <c r="G58">
        <v>5523</v>
      </c>
      <c r="H58">
        <v>539</v>
      </c>
      <c r="I58">
        <f>VLOOKUP(A58, Cost!A:I, 9, FALSE)</f>
        <v>334</v>
      </c>
      <c r="J58">
        <f t="shared" si="0"/>
        <v>205</v>
      </c>
      <c r="K58">
        <f t="shared" si="4"/>
        <v>61.377245508982035</v>
      </c>
      <c r="L58" t="str">
        <f t="shared" si="1"/>
        <v>Q22021-22</v>
      </c>
      <c r="M58">
        <f t="shared" si="2"/>
        <v>546</v>
      </c>
      <c r="N58">
        <f t="shared" si="3"/>
        <v>2976897</v>
      </c>
    </row>
    <row r="59" spans="1:14" x14ac:dyDescent="0.35">
      <c r="A59" t="s">
        <v>29</v>
      </c>
      <c r="B59" t="s">
        <v>9</v>
      </c>
      <c r="C59" t="s">
        <v>17</v>
      </c>
      <c r="D59" t="s">
        <v>16</v>
      </c>
      <c r="E59" t="s">
        <v>28</v>
      </c>
      <c r="F59">
        <v>6166</v>
      </c>
      <c r="G59">
        <v>5357</v>
      </c>
      <c r="H59">
        <v>469</v>
      </c>
      <c r="I59">
        <f>VLOOKUP(A59, Cost!A:I, 9, FALSE)</f>
        <v>334</v>
      </c>
      <c r="J59">
        <f t="shared" si="0"/>
        <v>135</v>
      </c>
      <c r="K59">
        <f t="shared" si="4"/>
        <v>40.419161676646709</v>
      </c>
      <c r="L59" t="str">
        <f t="shared" si="1"/>
        <v>Q22021-22</v>
      </c>
      <c r="M59">
        <f t="shared" si="2"/>
        <v>809</v>
      </c>
      <c r="N59">
        <f t="shared" si="3"/>
        <v>2512433</v>
      </c>
    </row>
    <row r="60" spans="1:14" x14ac:dyDescent="0.35">
      <c r="A60" t="s">
        <v>30</v>
      </c>
      <c r="B60" t="s">
        <v>31</v>
      </c>
      <c r="C60" t="s">
        <v>10</v>
      </c>
      <c r="D60" t="s">
        <v>11</v>
      </c>
      <c r="E60" t="s">
        <v>12</v>
      </c>
      <c r="F60">
        <v>6505</v>
      </c>
      <c r="G60">
        <v>5858</v>
      </c>
      <c r="H60">
        <v>364</v>
      </c>
      <c r="I60">
        <f>VLOOKUP(A60, Cost!A:I, 9, FALSE)</f>
        <v>455</v>
      </c>
      <c r="J60">
        <f t="shared" si="0"/>
        <v>-91</v>
      </c>
      <c r="K60">
        <f t="shared" si="4"/>
        <v>-20</v>
      </c>
      <c r="L60" t="str">
        <f t="shared" si="1"/>
        <v>Q12019-20</v>
      </c>
      <c r="M60">
        <f t="shared" si="2"/>
        <v>647</v>
      </c>
      <c r="N60">
        <f t="shared" si="3"/>
        <v>2132312</v>
      </c>
    </row>
    <row r="61" spans="1:14" x14ac:dyDescent="0.35">
      <c r="A61" t="s">
        <v>30</v>
      </c>
      <c r="B61" t="s">
        <v>31</v>
      </c>
      <c r="C61" t="s">
        <v>13</v>
      </c>
      <c r="D61" t="s">
        <v>11</v>
      </c>
      <c r="E61" t="s">
        <v>12</v>
      </c>
      <c r="F61">
        <v>5147</v>
      </c>
      <c r="G61">
        <v>4816</v>
      </c>
      <c r="H61">
        <v>357</v>
      </c>
      <c r="I61">
        <f>VLOOKUP(A61, Cost!A:I, 9, FALSE)</f>
        <v>455</v>
      </c>
      <c r="J61">
        <f t="shared" si="0"/>
        <v>-98</v>
      </c>
      <c r="K61">
        <f t="shared" si="4"/>
        <v>-21.53846153846154</v>
      </c>
      <c r="L61" t="str">
        <f t="shared" si="1"/>
        <v>Q12019-20</v>
      </c>
      <c r="M61">
        <f t="shared" si="2"/>
        <v>331</v>
      </c>
      <c r="N61">
        <f t="shared" si="3"/>
        <v>1719312</v>
      </c>
    </row>
    <row r="62" spans="1:14" x14ac:dyDescent="0.35">
      <c r="A62" t="s">
        <v>30</v>
      </c>
      <c r="B62" t="s">
        <v>31</v>
      </c>
      <c r="C62" t="s">
        <v>14</v>
      </c>
      <c r="D62" t="s">
        <v>11</v>
      </c>
      <c r="E62" t="s">
        <v>12</v>
      </c>
      <c r="F62">
        <v>5722</v>
      </c>
      <c r="G62">
        <v>5059</v>
      </c>
      <c r="H62">
        <v>386</v>
      </c>
      <c r="I62">
        <f>VLOOKUP(A62, Cost!A:I, 9, FALSE)</f>
        <v>455</v>
      </c>
      <c r="J62">
        <f t="shared" si="0"/>
        <v>-69</v>
      </c>
      <c r="K62">
        <f t="shared" si="4"/>
        <v>-15.164835164835164</v>
      </c>
      <c r="L62" t="str">
        <f t="shared" si="1"/>
        <v>Q12019-20</v>
      </c>
      <c r="M62">
        <f t="shared" si="2"/>
        <v>663</v>
      </c>
      <c r="N62">
        <f t="shared" si="3"/>
        <v>1952774</v>
      </c>
    </row>
    <row r="63" spans="1:14" x14ac:dyDescent="0.35">
      <c r="A63" t="s">
        <v>30</v>
      </c>
      <c r="B63" t="s">
        <v>31</v>
      </c>
      <c r="C63" t="s">
        <v>15</v>
      </c>
      <c r="D63" t="s">
        <v>16</v>
      </c>
      <c r="E63" t="s">
        <v>12</v>
      </c>
      <c r="F63">
        <v>6285</v>
      </c>
      <c r="G63">
        <v>5601</v>
      </c>
      <c r="H63">
        <v>493</v>
      </c>
      <c r="I63">
        <f>VLOOKUP(A63, Cost!A:I, 9, FALSE)</f>
        <v>455</v>
      </c>
      <c r="J63">
        <f t="shared" si="0"/>
        <v>38</v>
      </c>
      <c r="K63">
        <f t="shared" si="4"/>
        <v>8.3516483516483504</v>
      </c>
      <c r="L63" t="str">
        <f t="shared" si="1"/>
        <v>Q22019-20</v>
      </c>
      <c r="M63">
        <f t="shared" si="2"/>
        <v>684</v>
      </c>
      <c r="N63">
        <f t="shared" si="3"/>
        <v>2761293</v>
      </c>
    </row>
    <row r="64" spans="1:14" x14ac:dyDescent="0.35">
      <c r="A64" t="s">
        <v>30</v>
      </c>
      <c r="B64" t="s">
        <v>31</v>
      </c>
      <c r="C64" t="s">
        <v>17</v>
      </c>
      <c r="D64" t="s">
        <v>16</v>
      </c>
      <c r="E64" t="s">
        <v>12</v>
      </c>
      <c r="F64">
        <v>6087</v>
      </c>
      <c r="G64">
        <v>5937</v>
      </c>
      <c r="H64">
        <v>560</v>
      </c>
      <c r="I64">
        <f>VLOOKUP(A64, Cost!A:I, 9, FALSE)</f>
        <v>455</v>
      </c>
      <c r="J64">
        <f t="shared" si="0"/>
        <v>105</v>
      </c>
      <c r="K64">
        <f t="shared" si="4"/>
        <v>23.076923076923077</v>
      </c>
      <c r="L64" t="str">
        <f t="shared" si="1"/>
        <v>Q22019-20</v>
      </c>
      <c r="M64">
        <f t="shared" si="2"/>
        <v>150</v>
      </c>
      <c r="N64">
        <f t="shared" si="3"/>
        <v>3324720</v>
      </c>
    </row>
    <row r="65" spans="1:14" x14ac:dyDescent="0.35">
      <c r="A65" t="s">
        <v>30</v>
      </c>
      <c r="B65" t="s">
        <v>31</v>
      </c>
      <c r="C65" t="s">
        <v>18</v>
      </c>
      <c r="D65" t="s">
        <v>16</v>
      </c>
      <c r="E65" t="s">
        <v>12</v>
      </c>
      <c r="F65">
        <v>5506</v>
      </c>
      <c r="G65">
        <v>5222</v>
      </c>
      <c r="H65">
        <v>498</v>
      </c>
      <c r="I65">
        <f>VLOOKUP(A65, Cost!A:I, 9, FALSE)</f>
        <v>455</v>
      </c>
      <c r="J65">
        <f t="shared" si="0"/>
        <v>43</v>
      </c>
      <c r="K65">
        <f t="shared" si="4"/>
        <v>9.4505494505494507</v>
      </c>
      <c r="L65" t="str">
        <f t="shared" si="1"/>
        <v>Q22019-20</v>
      </c>
      <c r="M65">
        <f t="shared" si="2"/>
        <v>284</v>
      </c>
      <c r="N65">
        <f t="shared" si="3"/>
        <v>2600556</v>
      </c>
    </row>
    <row r="66" spans="1:14" x14ac:dyDescent="0.35">
      <c r="A66" t="s">
        <v>30</v>
      </c>
      <c r="B66" t="s">
        <v>31</v>
      </c>
      <c r="C66" t="s">
        <v>19</v>
      </c>
      <c r="D66" t="s">
        <v>20</v>
      </c>
      <c r="E66" t="s">
        <v>12</v>
      </c>
      <c r="F66">
        <v>6341</v>
      </c>
      <c r="G66">
        <v>5844</v>
      </c>
      <c r="H66">
        <v>448</v>
      </c>
      <c r="I66">
        <f>VLOOKUP(A66, Cost!A:I, 9, FALSE)</f>
        <v>455</v>
      </c>
      <c r="J66">
        <f t="shared" si="0"/>
        <v>-7</v>
      </c>
      <c r="K66">
        <f t="shared" si="4"/>
        <v>-1.5384615384615385</v>
      </c>
      <c r="L66" t="str">
        <f t="shared" si="1"/>
        <v>Q32019-20</v>
      </c>
      <c r="M66">
        <f t="shared" si="2"/>
        <v>497</v>
      </c>
      <c r="N66">
        <f t="shared" si="3"/>
        <v>2618112</v>
      </c>
    </row>
    <row r="67" spans="1:14" x14ac:dyDescent="0.35">
      <c r="A67" t="s">
        <v>30</v>
      </c>
      <c r="B67" t="s">
        <v>31</v>
      </c>
      <c r="C67" t="s">
        <v>21</v>
      </c>
      <c r="D67" t="s">
        <v>20</v>
      </c>
      <c r="E67" t="s">
        <v>12</v>
      </c>
      <c r="F67">
        <v>5442</v>
      </c>
      <c r="G67">
        <v>5154</v>
      </c>
      <c r="H67">
        <v>415</v>
      </c>
      <c r="I67">
        <f>VLOOKUP(A67, Cost!A:I, 9, FALSE)</f>
        <v>455</v>
      </c>
      <c r="J67">
        <f t="shared" ref="J67:J130" si="5">H67-I67</f>
        <v>-40</v>
      </c>
      <c r="K67">
        <f t="shared" ref="K67:K130" si="6">(J67/I67)*100</f>
        <v>-8.791208791208792</v>
      </c>
      <c r="L67" t="str">
        <f t="shared" ref="L67:L130" si="7">_xlfn.CONCAT(D67, E67)</f>
        <v>Q32019-20</v>
      </c>
      <c r="M67">
        <f t="shared" ref="M67:M130" si="8">F67 - G67</f>
        <v>288</v>
      </c>
      <c r="N67">
        <f t="shared" ref="N67:N130" si="9">G67*H67</f>
        <v>2138910</v>
      </c>
    </row>
    <row r="68" spans="1:14" x14ac:dyDescent="0.35">
      <c r="A68" t="s">
        <v>30</v>
      </c>
      <c r="B68" t="s">
        <v>31</v>
      </c>
      <c r="C68" t="s">
        <v>22</v>
      </c>
      <c r="D68" t="s">
        <v>20</v>
      </c>
      <c r="E68" t="s">
        <v>12</v>
      </c>
      <c r="F68">
        <v>5472</v>
      </c>
      <c r="G68">
        <v>4824</v>
      </c>
      <c r="H68">
        <v>484</v>
      </c>
      <c r="I68">
        <f>VLOOKUP(A68, Cost!A:I, 9, FALSE)</f>
        <v>455</v>
      </c>
      <c r="J68">
        <f t="shared" si="5"/>
        <v>29</v>
      </c>
      <c r="K68">
        <f t="shared" si="6"/>
        <v>6.3736263736263732</v>
      </c>
      <c r="L68" t="str">
        <f t="shared" si="7"/>
        <v>Q32019-20</v>
      </c>
      <c r="M68">
        <f t="shared" si="8"/>
        <v>648</v>
      </c>
      <c r="N68">
        <f t="shared" si="9"/>
        <v>2334816</v>
      </c>
    </row>
    <row r="69" spans="1:14" x14ac:dyDescent="0.35">
      <c r="A69" t="s">
        <v>30</v>
      </c>
      <c r="B69" t="s">
        <v>31</v>
      </c>
      <c r="C69" t="s">
        <v>23</v>
      </c>
      <c r="D69" t="s">
        <v>24</v>
      </c>
      <c r="E69" t="s">
        <v>12</v>
      </c>
      <c r="F69">
        <v>5890</v>
      </c>
      <c r="G69">
        <v>5165</v>
      </c>
      <c r="H69">
        <v>372</v>
      </c>
      <c r="I69">
        <f>VLOOKUP(A69, Cost!A:I, 9, FALSE)</f>
        <v>455</v>
      </c>
      <c r="J69">
        <f t="shared" si="5"/>
        <v>-83</v>
      </c>
      <c r="K69">
        <f t="shared" si="6"/>
        <v>-18.241758241758241</v>
      </c>
      <c r="L69" t="str">
        <f t="shared" si="7"/>
        <v>Q42019-20</v>
      </c>
      <c r="M69">
        <f t="shared" si="8"/>
        <v>725</v>
      </c>
      <c r="N69">
        <f t="shared" si="9"/>
        <v>1921380</v>
      </c>
    </row>
    <row r="70" spans="1:14" x14ac:dyDescent="0.35">
      <c r="A70" t="s">
        <v>30</v>
      </c>
      <c r="B70" t="s">
        <v>31</v>
      </c>
      <c r="C70" t="s">
        <v>25</v>
      </c>
      <c r="D70" t="s">
        <v>24</v>
      </c>
      <c r="E70" t="s">
        <v>12</v>
      </c>
      <c r="F70">
        <v>5481</v>
      </c>
      <c r="G70">
        <v>4792</v>
      </c>
      <c r="H70">
        <v>334</v>
      </c>
      <c r="I70">
        <f>VLOOKUP(A70, Cost!A:I, 9, FALSE)</f>
        <v>455</v>
      </c>
      <c r="J70">
        <f t="shared" si="5"/>
        <v>-121</v>
      </c>
      <c r="K70">
        <f t="shared" si="6"/>
        <v>-26.593406593406595</v>
      </c>
      <c r="L70" t="str">
        <f t="shared" si="7"/>
        <v>Q42019-20</v>
      </c>
      <c r="M70">
        <f t="shared" si="8"/>
        <v>689</v>
      </c>
      <c r="N70">
        <f t="shared" si="9"/>
        <v>1600528</v>
      </c>
    </row>
    <row r="71" spans="1:14" x14ac:dyDescent="0.35">
      <c r="A71" t="s">
        <v>30</v>
      </c>
      <c r="B71" t="s">
        <v>31</v>
      </c>
      <c r="C71" t="s">
        <v>26</v>
      </c>
      <c r="D71" t="s">
        <v>24</v>
      </c>
      <c r="E71" t="s">
        <v>12</v>
      </c>
      <c r="F71">
        <v>5281</v>
      </c>
      <c r="G71">
        <v>5338</v>
      </c>
      <c r="H71">
        <v>338</v>
      </c>
      <c r="I71">
        <f>VLOOKUP(A71, Cost!A:I, 9, FALSE)</f>
        <v>455</v>
      </c>
      <c r="J71">
        <f t="shared" si="5"/>
        <v>-117</v>
      </c>
      <c r="K71">
        <f t="shared" si="6"/>
        <v>-25.714285714285712</v>
      </c>
      <c r="L71" t="str">
        <f t="shared" si="7"/>
        <v>Q42019-20</v>
      </c>
      <c r="M71">
        <f t="shared" si="8"/>
        <v>-57</v>
      </c>
      <c r="N71">
        <f t="shared" si="9"/>
        <v>1804244</v>
      </c>
    </row>
    <row r="72" spans="1:14" x14ac:dyDescent="0.35">
      <c r="A72" t="s">
        <v>30</v>
      </c>
      <c r="B72" t="s">
        <v>31</v>
      </c>
      <c r="C72" t="s">
        <v>10</v>
      </c>
      <c r="D72" t="s">
        <v>11</v>
      </c>
      <c r="E72" t="s">
        <v>27</v>
      </c>
      <c r="F72">
        <v>5989</v>
      </c>
      <c r="G72">
        <v>5773</v>
      </c>
      <c r="H72">
        <v>461</v>
      </c>
      <c r="I72">
        <f>VLOOKUP(A72, Cost!A:I, 9, FALSE)</f>
        <v>455</v>
      </c>
      <c r="J72">
        <f t="shared" si="5"/>
        <v>6</v>
      </c>
      <c r="K72">
        <f t="shared" si="6"/>
        <v>1.3186813186813187</v>
      </c>
      <c r="L72" t="str">
        <f t="shared" si="7"/>
        <v>Q12020-21</v>
      </c>
      <c r="M72">
        <f t="shared" si="8"/>
        <v>216</v>
      </c>
      <c r="N72">
        <f t="shared" si="9"/>
        <v>2661353</v>
      </c>
    </row>
    <row r="73" spans="1:14" x14ac:dyDescent="0.35">
      <c r="A73" t="s">
        <v>30</v>
      </c>
      <c r="B73" t="s">
        <v>31</v>
      </c>
      <c r="C73" t="s">
        <v>13</v>
      </c>
      <c r="D73" t="s">
        <v>11</v>
      </c>
      <c r="E73" t="s">
        <v>27</v>
      </c>
      <c r="F73">
        <v>6232</v>
      </c>
      <c r="G73">
        <v>5440</v>
      </c>
      <c r="H73">
        <v>532</v>
      </c>
      <c r="I73">
        <f>VLOOKUP(A73, Cost!A:I, 9, FALSE)</f>
        <v>455</v>
      </c>
      <c r="J73">
        <f t="shared" si="5"/>
        <v>77</v>
      </c>
      <c r="K73">
        <f t="shared" si="6"/>
        <v>16.923076923076923</v>
      </c>
      <c r="L73" t="str">
        <f t="shared" si="7"/>
        <v>Q12020-21</v>
      </c>
      <c r="M73">
        <f t="shared" si="8"/>
        <v>792</v>
      </c>
      <c r="N73">
        <f t="shared" si="9"/>
        <v>2894080</v>
      </c>
    </row>
    <row r="74" spans="1:14" x14ac:dyDescent="0.35">
      <c r="A74" t="s">
        <v>30</v>
      </c>
      <c r="B74" t="s">
        <v>31</v>
      </c>
      <c r="C74" t="s">
        <v>14</v>
      </c>
      <c r="D74" t="s">
        <v>11</v>
      </c>
      <c r="E74" t="s">
        <v>27</v>
      </c>
      <c r="F74">
        <v>6724</v>
      </c>
      <c r="G74">
        <v>5949</v>
      </c>
      <c r="H74">
        <v>454</v>
      </c>
      <c r="I74">
        <f>VLOOKUP(A74, Cost!A:I, 9, FALSE)</f>
        <v>455</v>
      </c>
      <c r="J74">
        <f t="shared" si="5"/>
        <v>-1</v>
      </c>
      <c r="K74">
        <f t="shared" si="6"/>
        <v>-0.21978021978021978</v>
      </c>
      <c r="L74" t="str">
        <f t="shared" si="7"/>
        <v>Q12020-21</v>
      </c>
      <c r="M74">
        <f t="shared" si="8"/>
        <v>775</v>
      </c>
      <c r="N74">
        <f t="shared" si="9"/>
        <v>2700846</v>
      </c>
    </row>
    <row r="75" spans="1:14" x14ac:dyDescent="0.35">
      <c r="A75" t="s">
        <v>30</v>
      </c>
      <c r="B75" t="s">
        <v>31</v>
      </c>
      <c r="C75" t="s">
        <v>15</v>
      </c>
      <c r="D75" t="s">
        <v>16</v>
      </c>
      <c r="E75" t="s">
        <v>27</v>
      </c>
      <c r="F75">
        <v>6653</v>
      </c>
      <c r="G75">
        <v>6167</v>
      </c>
      <c r="H75">
        <v>545</v>
      </c>
      <c r="I75">
        <f>VLOOKUP(A75, Cost!A:I, 9, FALSE)</f>
        <v>455</v>
      </c>
      <c r="J75">
        <f t="shared" si="5"/>
        <v>90</v>
      </c>
      <c r="K75">
        <f t="shared" si="6"/>
        <v>19.780219780219781</v>
      </c>
      <c r="L75" t="str">
        <f t="shared" si="7"/>
        <v>Q22020-21</v>
      </c>
      <c r="M75">
        <f t="shared" si="8"/>
        <v>486</v>
      </c>
      <c r="N75">
        <f t="shared" si="9"/>
        <v>3361015</v>
      </c>
    </row>
    <row r="76" spans="1:14" x14ac:dyDescent="0.35">
      <c r="A76" t="s">
        <v>30</v>
      </c>
      <c r="B76" t="s">
        <v>31</v>
      </c>
      <c r="C76" t="s">
        <v>17</v>
      </c>
      <c r="D76" t="s">
        <v>16</v>
      </c>
      <c r="E76" t="s">
        <v>27</v>
      </c>
      <c r="F76">
        <v>5410</v>
      </c>
      <c r="G76">
        <v>5053</v>
      </c>
      <c r="H76">
        <v>411</v>
      </c>
      <c r="I76">
        <f>VLOOKUP(A76, Cost!A:I, 9, FALSE)</f>
        <v>455</v>
      </c>
      <c r="J76">
        <f t="shared" si="5"/>
        <v>-44</v>
      </c>
      <c r="K76">
        <f t="shared" si="6"/>
        <v>-9.6703296703296715</v>
      </c>
      <c r="L76" t="str">
        <f t="shared" si="7"/>
        <v>Q22020-21</v>
      </c>
      <c r="M76">
        <f t="shared" si="8"/>
        <v>357</v>
      </c>
      <c r="N76">
        <f t="shared" si="9"/>
        <v>2076783</v>
      </c>
    </row>
    <row r="77" spans="1:14" x14ac:dyDescent="0.35">
      <c r="A77" t="s">
        <v>30</v>
      </c>
      <c r="B77" t="s">
        <v>31</v>
      </c>
      <c r="C77" t="s">
        <v>18</v>
      </c>
      <c r="D77" t="s">
        <v>16</v>
      </c>
      <c r="E77" t="s">
        <v>27</v>
      </c>
      <c r="F77">
        <v>5322</v>
      </c>
      <c r="G77">
        <v>4954</v>
      </c>
      <c r="H77">
        <v>502</v>
      </c>
      <c r="I77">
        <f>VLOOKUP(A77, Cost!A:I, 9, FALSE)</f>
        <v>455</v>
      </c>
      <c r="J77">
        <f t="shared" si="5"/>
        <v>47</v>
      </c>
      <c r="K77">
        <f t="shared" si="6"/>
        <v>10.329670329670328</v>
      </c>
      <c r="L77" t="str">
        <f t="shared" si="7"/>
        <v>Q22020-21</v>
      </c>
      <c r="M77">
        <f t="shared" si="8"/>
        <v>368</v>
      </c>
      <c r="N77">
        <f t="shared" si="9"/>
        <v>2486908</v>
      </c>
    </row>
    <row r="78" spans="1:14" x14ac:dyDescent="0.35">
      <c r="A78" t="s">
        <v>30</v>
      </c>
      <c r="B78" t="s">
        <v>31</v>
      </c>
      <c r="C78" t="s">
        <v>19</v>
      </c>
      <c r="D78" t="s">
        <v>20</v>
      </c>
      <c r="E78" t="s">
        <v>27</v>
      </c>
      <c r="F78">
        <v>6647</v>
      </c>
      <c r="G78">
        <v>6408</v>
      </c>
      <c r="H78">
        <v>431</v>
      </c>
      <c r="I78">
        <f>VLOOKUP(A78, Cost!A:I, 9, FALSE)</f>
        <v>455</v>
      </c>
      <c r="J78">
        <f t="shared" si="5"/>
        <v>-24</v>
      </c>
      <c r="K78">
        <f t="shared" si="6"/>
        <v>-5.2747252747252746</v>
      </c>
      <c r="L78" t="str">
        <f t="shared" si="7"/>
        <v>Q32020-21</v>
      </c>
      <c r="M78">
        <f t="shared" si="8"/>
        <v>239</v>
      </c>
      <c r="N78">
        <f t="shared" si="9"/>
        <v>2761848</v>
      </c>
    </row>
    <row r="79" spans="1:14" x14ac:dyDescent="0.35">
      <c r="A79" t="s">
        <v>30</v>
      </c>
      <c r="B79" t="s">
        <v>31</v>
      </c>
      <c r="C79" t="s">
        <v>21</v>
      </c>
      <c r="D79" t="s">
        <v>20</v>
      </c>
      <c r="E79" t="s">
        <v>27</v>
      </c>
      <c r="F79">
        <v>5170</v>
      </c>
      <c r="G79">
        <v>5123</v>
      </c>
      <c r="H79">
        <v>540</v>
      </c>
      <c r="I79">
        <f>VLOOKUP(A79, Cost!A:I, 9, FALSE)</f>
        <v>455</v>
      </c>
      <c r="J79">
        <f t="shared" si="5"/>
        <v>85</v>
      </c>
      <c r="K79">
        <f t="shared" si="6"/>
        <v>18.681318681318682</v>
      </c>
      <c r="L79" t="str">
        <f t="shared" si="7"/>
        <v>Q32020-21</v>
      </c>
      <c r="M79">
        <f t="shared" si="8"/>
        <v>47</v>
      </c>
      <c r="N79">
        <f t="shared" si="9"/>
        <v>2766420</v>
      </c>
    </row>
    <row r="80" spans="1:14" x14ac:dyDescent="0.35">
      <c r="A80" t="s">
        <v>30</v>
      </c>
      <c r="B80" t="s">
        <v>31</v>
      </c>
      <c r="C80" t="s">
        <v>22</v>
      </c>
      <c r="D80" t="s">
        <v>20</v>
      </c>
      <c r="E80" t="s">
        <v>27</v>
      </c>
      <c r="F80">
        <v>5227</v>
      </c>
      <c r="G80">
        <v>4954</v>
      </c>
      <c r="H80">
        <v>551</v>
      </c>
      <c r="I80">
        <f>VLOOKUP(A80, Cost!A:I, 9, FALSE)</f>
        <v>455</v>
      </c>
      <c r="J80">
        <f t="shared" si="5"/>
        <v>96</v>
      </c>
      <c r="K80">
        <f t="shared" si="6"/>
        <v>21.098901098901099</v>
      </c>
      <c r="L80" t="str">
        <f t="shared" si="7"/>
        <v>Q32020-21</v>
      </c>
      <c r="M80">
        <f t="shared" si="8"/>
        <v>273</v>
      </c>
      <c r="N80">
        <f t="shared" si="9"/>
        <v>2729654</v>
      </c>
    </row>
    <row r="81" spans="1:14" x14ac:dyDescent="0.35">
      <c r="A81" t="s">
        <v>30</v>
      </c>
      <c r="B81" t="s">
        <v>31</v>
      </c>
      <c r="C81" t="s">
        <v>23</v>
      </c>
      <c r="D81" t="s">
        <v>24</v>
      </c>
      <c r="E81" t="s">
        <v>27</v>
      </c>
      <c r="F81">
        <v>5232</v>
      </c>
      <c r="G81">
        <v>5141</v>
      </c>
      <c r="H81">
        <v>513</v>
      </c>
      <c r="I81">
        <f>VLOOKUP(A81, Cost!A:I, 9, FALSE)</f>
        <v>455</v>
      </c>
      <c r="J81">
        <f t="shared" si="5"/>
        <v>58</v>
      </c>
      <c r="K81">
        <f t="shared" si="6"/>
        <v>12.747252747252746</v>
      </c>
      <c r="L81" t="str">
        <f t="shared" si="7"/>
        <v>Q42020-21</v>
      </c>
      <c r="M81">
        <f t="shared" si="8"/>
        <v>91</v>
      </c>
      <c r="N81">
        <f t="shared" si="9"/>
        <v>2637333</v>
      </c>
    </row>
    <row r="82" spans="1:14" x14ac:dyDescent="0.35">
      <c r="A82" t="s">
        <v>30</v>
      </c>
      <c r="B82" t="s">
        <v>31</v>
      </c>
      <c r="C82" t="s">
        <v>25</v>
      </c>
      <c r="D82" t="s">
        <v>24</v>
      </c>
      <c r="E82" t="s">
        <v>27</v>
      </c>
      <c r="F82">
        <v>6726</v>
      </c>
      <c r="G82">
        <v>6618</v>
      </c>
      <c r="H82">
        <v>428</v>
      </c>
      <c r="I82">
        <f>VLOOKUP(A82, Cost!A:I, 9, FALSE)</f>
        <v>455</v>
      </c>
      <c r="J82">
        <f t="shared" si="5"/>
        <v>-27</v>
      </c>
      <c r="K82">
        <f t="shared" si="6"/>
        <v>-5.9340659340659334</v>
      </c>
      <c r="L82" t="str">
        <f t="shared" si="7"/>
        <v>Q42020-21</v>
      </c>
      <c r="M82">
        <f t="shared" si="8"/>
        <v>108</v>
      </c>
      <c r="N82">
        <f t="shared" si="9"/>
        <v>2832504</v>
      </c>
    </row>
    <row r="83" spans="1:14" x14ac:dyDescent="0.35">
      <c r="A83" t="s">
        <v>30</v>
      </c>
      <c r="B83" t="s">
        <v>31</v>
      </c>
      <c r="C83" t="s">
        <v>26</v>
      </c>
      <c r="D83" t="s">
        <v>24</v>
      </c>
      <c r="E83" t="s">
        <v>27</v>
      </c>
      <c r="F83">
        <v>6450</v>
      </c>
      <c r="G83">
        <v>5661</v>
      </c>
      <c r="H83">
        <v>513</v>
      </c>
      <c r="I83">
        <f>VLOOKUP(A83, Cost!A:I, 9, FALSE)</f>
        <v>455</v>
      </c>
      <c r="J83">
        <f t="shared" si="5"/>
        <v>58</v>
      </c>
      <c r="K83">
        <f t="shared" si="6"/>
        <v>12.747252747252746</v>
      </c>
      <c r="L83" t="str">
        <f t="shared" si="7"/>
        <v>Q42020-21</v>
      </c>
      <c r="M83">
        <f t="shared" si="8"/>
        <v>789</v>
      </c>
      <c r="N83">
        <f t="shared" si="9"/>
        <v>2904093</v>
      </c>
    </row>
    <row r="84" spans="1:14" x14ac:dyDescent="0.35">
      <c r="A84" t="s">
        <v>30</v>
      </c>
      <c r="B84" t="s">
        <v>31</v>
      </c>
      <c r="C84" t="s">
        <v>10</v>
      </c>
      <c r="D84" t="s">
        <v>11</v>
      </c>
      <c r="E84" t="s">
        <v>28</v>
      </c>
      <c r="F84">
        <v>6250</v>
      </c>
      <c r="G84">
        <v>5622</v>
      </c>
      <c r="H84">
        <v>531</v>
      </c>
      <c r="I84">
        <f>VLOOKUP(A84, Cost!A:I, 9, FALSE)</f>
        <v>455</v>
      </c>
      <c r="J84">
        <f t="shared" si="5"/>
        <v>76</v>
      </c>
      <c r="K84">
        <f t="shared" si="6"/>
        <v>16.703296703296701</v>
      </c>
      <c r="L84" t="str">
        <f t="shared" si="7"/>
        <v>Q12021-22</v>
      </c>
      <c r="M84">
        <f t="shared" si="8"/>
        <v>628</v>
      </c>
      <c r="N84">
        <f t="shared" si="9"/>
        <v>2985282</v>
      </c>
    </row>
    <row r="85" spans="1:14" x14ac:dyDescent="0.35">
      <c r="A85" t="s">
        <v>30</v>
      </c>
      <c r="B85" t="s">
        <v>31</v>
      </c>
      <c r="C85" t="s">
        <v>13</v>
      </c>
      <c r="D85" t="s">
        <v>11</v>
      </c>
      <c r="E85" t="s">
        <v>28</v>
      </c>
      <c r="F85">
        <v>5075</v>
      </c>
      <c r="G85">
        <v>4985</v>
      </c>
      <c r="H85">
        <v>388</v>
      </c>
      <c r="I85">
        <f>VLOOKUP(A85, Cost!A:I, 9, FALSE)</f>
        <v>455</v>
      </c>
      <c r="J85">
        <f t="shared" si="5"/>
        <v>-67</v>
      </c>
      <c r="K85">
        <f t="shared" si="6"/>
        <v>-14.725274725274726</v>
      </c>
      <c r="L85" t="str">
        <f t="shared" si="7"/>
        <v>Q12021-22</v>
      </c>
      <c r="M85">
        <f t="shared" si="8"/>
        <v>90</v>
      </c>
      <c r="N85">
        <f t="shared" si="9"/>
        <v>1934180</v>
      </c>
    </row>
    <row r="86" spans="1:14" x14ac:dyDescent="0.35">
      <c r="A86" t="s">
        <v>30</v>
      </c>
      <c r="B86" t="s">
        <v>31</v>
      </c>
      <c r="C86" t="s">
        <v>14</v>
      </c>
      <c r="D86" t="s">
        <v>11</v>
      </c>
      <c r="E86" t="s">
        <v>28</v>
      </c>
      <c r="F86">
        <v>5267</v>
      </c>
      <c r="G86">
        <v>4797</v>
      </c>
      <c r="H86">
        <v>454</v>
      </c>
      <c r="I86">
        <f>VLOOKUP(A86, Cost!A:I, 9, FALSE)</f>
        <v>455</v>
      </c>
      <c r="J86">
        <f t="shared" si="5"/>
        <v>-1</v>
      </c>
      <c r="K86">
        <f t="shared" si="6"/>
        <v>-0.21978021978021978</v>
      </c>
      <c r="L86" t="str">
        <f t="shared" si="7"/>
        <v>Q12021-22</v>
      </c>
      <c r="M86">
        <f t="shared" si="8"/>
        <v>470</v>
      </c>
      <c r="N86">
        <f t="shared" si="9"/>
        <v>2177838</v>
      </c>
    </row>
    <row r="87" spans="1:14" x14ac:dyDescent="0.35">
      <c r="A87" t="s">
        <v>30</v>
      </c>
      <c r="B87" t="s">
        <v>31</v>
      </c>
      <c r="C87" t="s">
        <v>15</v>
      </c>
      <c r="D87" t="s">
        <v>16</v>
      </c>
      <c r="E87" t="s">
        <v>28</v>
      </c>
      <c r="F87">
        <v>5673</v>
      </c>
      <c r="G87">
        <v>5112</v>
      </c>
      <c r="H87">
        <v>499</v>
      </c>
      <c r="I87">
        <f>VLOOKUP(A87, Cost!A:I, 9, FALSE)</f>
        <v>455</v>
      </c>
      <c r="J87">
        <f t="shared" si="5"/>
        <v>44</v>
      </c>
      <c r="K87">
        <f t="shared" si="6"/>
        <v>9.6703296703296715</v>
      </c>
      <c r="L87" t="str">
        <f t="shared" si="7"/>
        <v>Q22021-22</v>
      </c>
      <c r="M87">
        <f t="shared" si="8"/>
        <v>561</v>
      </c>
      <c r="N87">
        <f t="shared" si="9"/>
        <v>2550888</v>
      </c>
    </row>
    <row r="88" spans="1:14" x14ac:dyDescent="0.35">
      <c r="A88" t="s">
        <v>30</v>
      </c>
      <c r="B88" t="s">
        <v>31</v>
      </c>
      <c r="C88" t="s">
        <v>17</v>
      </c>
      <c r="D88" t="s">
        <v>16</v>
      </c>
      <c r="E88" t="s">
        <v>28</v>
      </c>
      <c r="F88">
        <v>6151</v>
      </c>
      <c r="G88">
        <v>5820</v>
      </c>
      <c r="H88">
        <v>423</v>
      </c>
      <c r="I88">
        <f>VLOOKUP(A88, Cost!A:I, 9, FALSE)</f>
        <v>455</v>
      </c>
      <c r="J88">
        <f t="shared" si="5"/>
        <v>-32</v>
      </c>
      <c r="K88">
        <f t="shared" si="6"/>
        <v>-7.0329670329670328</v>
      </c>
      <c r="L88" t="str">
        <f t="shared" si="7"/>
        <v>Q22021-22</v>
      </c>
      <c r="M88">
        <f t="shared" si="8"/>
        <v>331</v>
      </c>
      <c r="N88">
        <f t="shared" si="9"/>
        <v>2461860</v>
      </c>
    </row>
    <row r="89" spans="1:14" x14ac:dyDescent="0.35">
      <c r="A89" t="s">
        <v>32</v>
      </c>
      <c r="B89" t="s">
        <v>31</v>
      </c>
      <c r="C89" t="s">
        <v>10</v>
      </c>
      <c r="D89" t="s">
        <v>11</v>
      </c>
      <c r="E89" t="s">
        <v>12</v>
      </c>
      <c r="F89">
        <v>5935</v>
      </c>
      <c r="G89">
        <v>5353</v>
      </c>
      <c r="H89">
        <v>424</v>
      </c>
      <c r="I89">
        <f>VLOOKUP(A89, Cost!A:I, 9, FALSE)</f>
        <v>379</v>
      </c>
      <c r="J89">
        <f t="shared" si="5"/>
        <v>45</v>
      </c>
      <c r="K89">
        <f t="shared" si="6"/>
        <v>11.87335092348285</v>
      </c>
      <c r="L89" t="str">
        <f t="shared" si="7"/>
        <v>Q12019-20</v>
      </c>
      <c r="M89">
        <f t="shared" si="8"/>
        <v>582</v>
      </c>
      <c r="N89">
        <f t="shared" si="9"/>
        <v>2269672</v>
      </c>
    </row>
    <row r="90" spans="1:14" x14ac:dyDescent="0.35">
      <c r="A90" t="s">
        <v>32</v>
      </c>
      <c r="B90" t="s">
        <v>31</v>
      </c>
      <c r="C90" t="s">
        <v>13</v>
      </c>
      <c r="D90" t="s">
        <v>11</v>
      </c>
      <c r="E90" t="s">
        <v>12</v>
      </c>
      <c r="F90">
        <v>6126</v>
      </c>
      <c r="G90">
        <v>5908</v>
      </c>
      <c r="H90">
        <v>420</v>
      </c>
      <c r="I90">
        <f>VLOOKUP(A90, Cost!A:I, 9, FALSE)</f>
        <v>379</v>
      </c>
      <c r="J90">
        <f t="shared" si="5"/>
        <v>41</v>
      </c>
      <c r="K90">
        <f t="shared" si="6"/>
        <v>10.817941952506596</v>
      </c>
      <c r="L90" t="str">
        <f t="shared" si="7"/>
        <v>Q12019-20</v>
      </c>
      <c r="M90">
        <f t="shared" si="8"/>
        <v>218</v>
      </c>
      <c r="N90">
        <f t="shared" si="9"/>
        <v>2481360</v>
      </c>
    </row>
    <row r="91" spans="1:14" x14ac:dyDescent="0.35">
      <c r="A91" t="s">
        <v>32</v>
      </c>
      <c r="B91" t="s">
        <v>31</v>
      </c>
      <c r="C91" t="s">
        <v>14</v>
      </c>
      <c r="D91" t="s">
        <v>11</v>
      </c>
      <c r="E91" t="s">
        <v>12</v>
      </c>
      <c r="F91">
        <v>5985</v>
      </c>
      <c r="G91">
        <v>5392</v>
      </c>
      <c r="H91">
        <v>419</v>
      </c>
      <c r="I91">
        <f>VLOOKUP(A91, Cost!A:I, 9, FALSE)</f>
        <v>379</v>
      </c>
      <c r="J91">
        <f t="shared" si="5"/>
        <v>40</v>
      </c>
      <c r="K91">
        <f t="shared" si="6"/>
        <v>10.554089709762533</v>
      </c>
      <c r="L91" t="str">
        <f t="shared" si="7"/>
        <v>Q12019-20</v>
      </c>
      <c r="M91">
        <f t="shared" si="8"/>
        <v>593</v>
      </c>
      <c r="N91">
        <f t="shared" si="9"/>
        <v>2259248</v>
      </c>
    </row>
    <row r="92" spans="1:14" x14ac:dyDescent="0.35">
      <c r="A92" t="s">
        <v>32</v>
      </c>
      <c r="B92" t="s">
        <v>31</v>
      </c>
      <c r="C92" t="s">
        <v>15</v>
      </c>
      <c r="D92" t="s">
        <v>16</v>
      </c>
      <c r="E92" t="s">
        <v>12</v>
      </c>
      <c r="F92">
        <v>6015</v>
      </c>
      <c r="G92">
        <v>5623</v>
      </c>
      <c r="H92">
        <v>565</v>
      </c>
      <c r="I92">
        <f>VLOOKUP(A92, Cost!A:I, 9, FALSE)</f>
        <v>379</v>
      </c>
      <c r="J92">
        <f t="shared" si="5"/>
        <v>186</v>
      </c>
      <c r="K92">
        <f t="shared" si="6"/>
        <v>49.076517150395773</v>
      </c>
      <c r="L92" t="str">
        <f t="shared" si="7"/>
        <v>Q22019-20</v>
      </c>
      <c r="M92">
        <f t="shared" si="8"/>
        <v>392</v>
      </c>
      <c r="N92">
        <f t="shared" si="9"/>
        <v>3176995</v>
      </c>
    </row>
    <row r="93" spans="1:14" x14ac:dyDescent="0.35">
      <c r="A93" t="s">
        <v>32</v>
      </c>
      <c r="B93" t="s">
        <v>31</v>
      </c>
      <c r="C93" t="s">
        <v>17</v>
      </c>
      <c r="D93" t="s">
        <v>16</v>
      </c>
      <c r="E93" t="s">
        <v>12</v>
      </c>
      <c r="F93">
        <v>5124</v>
      </c>
      <c r="G93">
        <v>4615</v>
      </c>
      <c r="H93">
        <v>452</v>
      </c>
      <c r="I93">
        <f>VLOOKUP(A93, Cost!A:I, 9, FALSE)</f>
        <v>379</v>
      </c>
      <c r="J93">
        <f t="shared" si="5"/>
        <v>73</v>
      </c>
      <c r="K93">
        <f t="shared" si="6"/>
        <v>19.261213720316622</v>
      </c>
      <c r="L93" t="str">
        <f t="shared" si="7"/>
        <v>Q22019-20</v>
      </c>
      <c r="M93">
        <f t="shared" si="8"/>
        <v>509</v>
      </c>
      <c r="N93">
        <f t="shared" si="9"/>
        <v>2085980</v>
      </c>
    </row>
    <row r="94" spans="1:14" x14ac:dyDescent="0.35">
      <c r="A94" t="s">
        <v>32</v>
      </c>
      <c r="B94" t="s">
        <v>31</v>
      </c>
      <c r="C94" t="s">
        <v>18</v>
      </c>
      <c r="D94" t="s">
        <v>16</v>
      </c>
      <c r="E94" t="s">
        <v>12</v>
      </c>
      <c r="F94">
        <v>6528</v>
      </c>
      <c r="G94">
        <v>6475</v>
      </c>
      <c r="H94">
        <v>427</v>
      </c>
      <c r="I94">
        <f>VLOOKUP(A94, Cost!A:I, 9, FALSE)</f>
        <v>379</v>
      </c>
      <c r="J94">
        <f t="shared" si="5"/>
        <v>48</v>
      </c>
      <c r="K94">
        <f t="shared" si="6"/>
        <v>12.664907651715041</v>
      </c>
      <c r="L94" t="str">
        <f t="shared" si="7"/>
        <v>Q22019-20</v>
      </c>
      <c r="M94">
        <f t="shared" si="8"/>
        <v>53</v>
      </c>
      <c r="N94">
        <f t="shared" si="9"/>
        <v>2764825</v>
      </c>
    </row>
    <row r="95" spans="1:14" x14ac:dyDescent="0.35">
      <c r="A95" t="s">
        <v>32</v>
      </c>
      <c r="B95" t="s">
        <v>31</v>
      </c>
      <c r="C95" t="s">
        <v>19</v>
      </c>
      <c r="D95" t="s">
        <v>20</v>
      </c>
      <c r="E95" t="s">
        <v>12</v>
      </c>
      <c r="F95">
        <v>6438</v>
      </c>
      <c r="G95">
        <v>5922</v>
      </c>
      <c r="H95">
        <v>448</v>
      </c>
      <c r="I95">
        <f>VLOOKUP(A95, Cost!A:I, 9, FALSE)</f>
        <v>379</v>
      </c>
      <c r="J95">
        <f t="shared" si="5"/>
        <v>69</v>
      </c>
      <c r="K95">
        <f t="shared" si="6"/>
        <v>18.20580474934037</v>
      </c>
      <c r="L95" t="str">
        <f t="shared" si="7"/>
        <v>Q32019-20</v>
      </c>
      <c r="M95">
        <f t="shared" si="8"/>
        <v>516</v>
      </c>
      <c r="N95">
        <f t="shared" si="9"/>
        <v>2653056</v>
      </c>
    </row>
    <row r="96" spans="1:14" x14ac:dyDescent="0.35">
      <c r="A96" t="s">
        <v>32</v>
      </c>
      <c r="B96" t="s">
        <v>31</v>
      </c>
      <c r="C96" t="s">
        <v>21</v>
      </c>
      <c r="D96" t="s">
        <v>20</v>
      </c>
      <c r="E96" t="s">
        <v>12</v>
      </c>
      <c r="F96">
        <v>5551</v>
      </c>
      <c r="G96">
        <v>5002</v>
      </c>
      <c r="H96">
        <v>526</v>
      </c>
      <c r="I96">
        <f>VLOOKUP(A96, Cost!A:I, 9, FALSE)</f>
        <v>379</v>
      </c>
      <c r="J96">
        <f t="shared" si="5"/>
        <v>147</v>
      </c>
      <c r="K96">
        <f t="shared" si="6"/>
        <v>38.786279683377309</v>
      </c>
      <c r="L96" t="str">
        <f t="shared" si="7"/>
        <v>Q32019-20</v>
      </c>
      <c r="M96">
        <f t="shared" si="8"/>
        <v>549</v>
      </c>
      <c r="N96">
        <f t="shared" si="9"/>
        <v>2631052</v>
      </c>
    </row>
    <row r="97" spans="1:14" x14ac:dyDescent="0.35">
      <c r="A97" t="s">
        <v>32</v>
      </c>
      <c r="B97" t="s">
        <v>31</v>
      </c>
      <c r="C97" t="s">
        <v>22</v>
      </c>
      <c r="D97" t="s">
        <v>20</v>
      </c>
      <c r="E97" t="s">
        <v>12</v>
      </c>
      <c r="F97">
        <v>5892</v>
      </c>
      <c r="G97">
        <v>5214</v>
      </c>
      <c r="H97">
        <v>386</v>
      </c>
      <c r="I97">
        <f>VLOOKUP(A97, Cost!A:I, 9, FALSE)</f>
        <v>379</v>
      </c>
      <c r="J97">
        <f t="shared" si="5"/>
        <v>7</v>
      </c>
      <c r="K97">
        <f t="shared" si="6"/>
        <v>1.8469656992084433</v>
      </c>
      <c r="L97" t="str">
        <f t="shared" si="7"/>
        <v>Q32019-20</v>
      </c>
      <c r="M97">
        <f t="shared" si="8"/>
        <v>678</v>
      </c>
      <c r="N97">
        <f t="shared" si="9"/>
        <v>2012604</v>
      </c>
    </row>
    <row r="98" spans="1:14" x14ac:dyDescent="0.35">
      <c r="A98" t="s">
        <v>32</v>
      </c>
      <c r="B98" t="s">
        <v>31</v>
      </c>
      <c r="C98" t="s">
        <v>23</v>
      </c>
      <c r="D98" t="s">
        <v>24</v>
      </c>
      <c r="E98" t="s">
        <v>12</v>
      </c>
      <c r="F98">
        <v>6661</v>
      </c>
      <c r="G98">
        <v>6367</v>
      </c>
      <c r="H98">
        <v>556</v>
      </c>
      <c r="I98">
        <f>VLOOKUP(A98, Cost!A:I, 9, FALSE)</f>
        <v>379</v>
      </c>
      <c r="J98">
        <f t="shared" si="5"/>
        <v>177</v>
      </c>
      <c r="K98">
        <f t="shared" si="6"/>
        <v>46.701846965699204</v>
      </c>
      <c r="L98" t="str">
        <f t="shared" si="7"/>
        <v>Q42019-20</v>
      </c>
      <c r="M98">
        <f t="shared" si="8"/>
        <v>294</v>
      </c>
      <c r="N98">
        <f t="shared" si="9"/>
        <v>3540052</v>
      </c>
    </row>
    <row r="99" spans="1:14" x14ac:dyDescent="0.35">
      <c r="A99" t="s">
        <v>32</v>
      </c>
      <c r="B99" t="s">
        <v>31</v>
      </c>
      <c r="C99" t="s">
        <v>25</v>
      </c>
      <c r="D99" t="s">
        <v>24</v>
      </c>
      <c r="E99" t="s">
        <v>12</v>
      </c>
      <c r="F99">
        <v>6836</v>
      </c>
      <c r="G99">
        <v>6174</v>
      </c>
      <c r="H99">
        <v>503</v>
      </c>
      <c r="I99">
        <f>VLOOKUP(A99, Cost!A:I, 9, FALSE)</f>
        <v>379</v>
      </c>
      <c r="J99">
        <f t="shared" si="5"/>
        <v>124</v>
      </c>
      <c r="K99">
        <f t="shared" si="6"/>
        <v>32.717678100263853</v>
      </c>
      <c r="L99" t="str">
        <f t="shared" si="7"/>
        <v>Q42019-20</v>
      </c>
      <c r="M99">
        <f t="shared" si="8"/>
        <v>662</v>
      </c>
      <c r="N99">
        <f t="shared" si="9"/>
        <v>3105522</v>
      </c>
    </row>
    <row r="100" spans="1:14" x14ac:dyDescent="0.35">
      <c r="A100" t="s">
        <v>32</v>
      </c>
      <c r="B100" t="s">
        <v>31</v>
      </c>
      <c r="C100" t="s">
        <v>26</v>
      </c>
      <c r="D100" t="s">
        <v>24</v>
      </c>
      <c r="E100" t="s">
        <v>12</v>
      </c>
      <c r="F100">
        <v>6023</v>
      </c>
      <c r="G100">
        <v>5530</v>
      </c>
      <c r="H100">
        <v>420</v>
      </c>
      <c r="I100">
        <f>VLOOKUP(A100, Cost!A:I, 9, FALSE)</f>
        <v>379</v>
      </c>
      <c r="J100">
        <f t="shared" si="5"/>
        <v>41</v>
      </c>
      <c r="K100">
        <f t="shared" si="6"/>
        <v>10.817941952506596</v>
      </c>
      <c r="L100" t="str">
        <f t="shared" si="7"/>
        <v>Q42019-20</v>
      </c>
      <c r="M100">
        <f t="shared" si="8"/>
        <v>493</v>
      </c>
      <c r="N100">
        <f t="shared" si="9"/>
        <v>2322600</v>
      </c>
    </row>
    <row r="101" spans="1:14" x14ac:dyDescent="0.35">
      <c r="A101" t="s">
        <v>32</v>
      </c>
      <c r="B101" t="s">
        <v>31</v>
      </c>
      <c r="C101" t="s">
        <v>10</v>
      </c>
      <c r="D101" t="s">
        <v>11</v>
      </c>
      <c r="E101" t="s">
        <v>27</v>
      </c>
      <c r="F101">
        <v>5690</v>
      </c>
      <c r="G101">
        <v>5543</v>
      </c>
      <c r="H101">
        <v>378</v>
      </c>
      <c r="I101">
        <f>VLOOKUP(A101, Cost!A:I, 9, FALSE)</f>
        <v>379</v>
      </c>
      <c r="J101">
        <f t="shared" si="5"/>
        <v>-1</v>
      </c>
      <c r="K101">
        <f t="shared" si="6"/>
        <v>-0.26385224274406333</v>
      </c>
      <c r="L101" t="str">
        <f t="shared" si="7"/>
        <v>Q12020-21</v>
      </c>
      <c r="M101">
        <f t="shared" si="8"/>
        <v>147</v>
      </c>
      <c r="N101">
        <f t="shared" si="9"/>
        <v>2095254</v>
      </c>
    </row>
    <row r="102" spans="1:14" x14ac:dyDescent="0.35">
      <c r="A102" t="s">
        <v>32</v>
      </c>
      <c r="B102" t="s">
        <v>31</v>
      </c>
      <c r="C102" t="s">
        <v>13</v>
      </c>
      <c r="D102" t="s">
        <v>11</v>
      </c>
      <c r="E102" t="s">
        <v>27</v>
      </c>
      <c r="F102">
        <v>6114</v>
      </c>
      <c r="G102">
        <v>5797</v>
      </c>
      <c r="H102">
        <v>435</v>
      </c>
      <c r="I102">
        <f>VLOOKUP(A102, Cost!A:I, 9, FALSE)</f>
        <v>379</v>
      </c>
      <c r="J102">
        <f t="shared" si="5"/>
        <v>56</v>
      </c>
      <c r="K102">
        <f t="shared" si="6"/>
        <v>14.775725593667547</v>
      </c>
      <c r="L102" t="str">
        <f t="shared" si="7"/>
        <v>Q12020-21</v>
      </c>
      <c r="M102">
        <f t="shared" si="8"/>
        <v>317</v>
      </c>
      <c r="N102">
        <f t="shared" si="9"/>
        <v>2521695</v>
      </c>
    </row>
    <row r="103" spans="1:14" x14ac:dyDescent="0.35">
      <c r="A103" t="s">
        <v>32</v>
      </c>
      <c r="B103" t="s">
        <v>31</v>
      </c>
      <c r="C103" t="s">
        <v>14</v>
      </c>
      <c r="D103" t="s">
        <v>11</v>
      </c>
      <c r="E103" t="s">
        <v>27</v>
      </c>
      <c r="F103">
        <v>6704</v>
      </c>
      <c r="G103">
        <v>6321</v>
      </c>
      <c r="H103">
        <v>525</v>
      </c>
      <c r="I103">
        <f>VLOOKUP(A103, Cost!A:I, 9, FALSE)</f>
        <v>379</v>
      </c>
      <c r="J103">
        <f t="shared" si="5"/>
        <v>146</v>
      </c>
      <c r="K103">
        <f t="shared" si="6"/>
        <v>38.522427440633244</v>
      </c>
      <c r="L103" t="str">
        <f t="shared" si="7"/>
        <v>Q12020-21</v>
      </c>
      <c r="M103">
        <f t="shared" si="8"/>
        <v>383</v>
      </c>
      <c r="N103">
        <f t="shared" si="9"/>
        <v>3318525</v>
      </c>
    </row>
    <row r="104" spans="1:14" x14ac:dyDescent="0.35">
      <c r="A104" t="s">
        <v>32</v>
      </c>
      <c r="B104" t="s">
        <v>31</v>
      </c>
      <c r="C104" t="s">
        <v>15</v>
      </c>
      <c r="D104" t="s">
        <v>16</v>
      </c>
      <c r="E104" t="s">
        <v>27</v>
      </c>
      <c r="F104">
        <v>6076</v>
      </c>
      <c r="G104">
        <v>5585</v>
      </c>
      <c r="H104">
        <v>499</v>
      </c>
      <c r="I104">
        <f>VLOOKUP(A104, Cost!A:I, 9, FALSE)</f>
        <v>379</v>
      </c>
      <c r="J104">
        <f t="shared" si="5"/>
        <v>120</v>
      </c>
      <c r="K104">
        <f t="shared" si="6"/>
        <v>31.662269129287601</v>
      </c>
      <c r="L104" t="str">
        <f t="shared" si="7"/>
        <v>Q22020-21</v>
      </c>
      <c r="M104">
        <f t="shared" si="8"/>
        <v>491</v>
      </c>
      <c r="N104">
        <f t="shared" si="9"/>
        <v>2786915</v>
      </c>
    </row>
    <row r="105" spans="1:14" x14ac:dyDescent="0.35">
      <c r="A105" t="s">
        <v>32</v>
      </c>
      <c r="B105" t="s">
        <v>31</v>
      </c>
      <c r="C105" t="s">
        <v>17</v>
      </c>
      <c r="D105" t="s">
        <v>16</v>
      </c>
      <c r="E105" t="s">
        <v>27</v>
      </c>
      <c r="F105">
        <v>5670</v>
      </c>
      <c r="G105">
        <v>4923</v>
      </c>
      <c r="H105">
        <v>341</v>
      </c>
      <c r="I105">
        <f>VLOOKUP(A105, Cost!A:I, 9, FALSE)</f>
        <v>379</v>
      </c>
      <c r="J105">
        <f t="shared" si="5"/>
        <v>-38</v>
      </c>
      <c r="K105">
        <f t="shared" si="6"/>
        <v>-10.026385224274406</v>
      </c>
      <c r="L105" t="str">
        <f t="shared" si="7"/>
        <v>Q22020-21</v>
      </c>
      <c r="M105">
        <f t="shared" si="8"/>
        <v>747</v>
      </c>
      <c r="N105">
        <f t="shared" si="9"/>
        <v>1678743</v>
      </c>
    </row>
    <row r="106" spans="1:14" x14ac:dyDescent="0.35">
      <c r="A106" t="s">
        <v>32</v>
      </c>
      <c r="B106" t="s">
        <v>31</v>
      </c>
      <c r="C106" t="s">
        <v>18</v>
      </c>
      <c r="D106" t="s">
        <v>16</v>
      </c>
      <c r="E106" t="s">
        <v>27</v>
      </c>
      <c r="F106">
        <v>5942</v>
      </c>
      <c r="G106">
        <v>5259</v>
      </c>
      <c r="H106">
        <v>478</v>
      </c>
      <c r="I106">
        <f>VLOOKUP(A106, Cost!A:I, 9, FALSE)</f>
        <v>379</v>
      </c>
      <c r="J106">
        <f t="shared" si="5"/>
        <v>99</v>
      </c>
      <c r="K106">
        <f t="shared" si="6"/>
        <v>26.121372031662272</v>
      </c>
      <c r="L106" t="str">
        <f t="shared" si="7"/>
        <v>Q22020-21</v>
      </c>
      <c r="M106">
        <f t="shared" si="8"/>
        <v>683</v>
      </c>
      <c r="N106">
        <f t="shared" si="9"/>
        <v>2513802</v>
      </c>
    </row>
    <row r="107" spans="1:14" x14ac:dyDescent="0.35">
      <c r="A107" t="s">
        <v>32</v>
      </c>
      <c r="B107" t="s">
        <v>31</v>
      </c>
      <c r="C107" t="s">
        <v>19</v>
      </c>
      <c r="D107" t="s">
        <v>20</v>
      </c>
      <c r="E107" t="s">
        <v>27</v>
      </c>
      <c r="F107">
        <v>5598</v>
      </c>
      <c r="G107">
        <v>5348</v>
      </c>
      <c r="H107">
        <v>448</v>
      </c>
      <c r="I107">
        <f>VLOOKUP(A107, Cost!A:I, 9, FALSE)</f>
        <v>379</v>
      </c>
      <c r="J107">
        <f t="shared" si="5"/>
        <v>69</v>
      </c>
      <c r="K107">
        <f t="shared" si="6"/>
        <v>18.20580474934037</v>
      </c>
      <c r="L107" t="str">
        <f t="shared" si="7"/>
        <v>Q32020-21</v>
      </c>
      <c r="M107">
        <f t="shared" si="8"/>
        <v>250</v>
      </c>
      <c r="N107">
        <f t="shared" si="9"/>
        <v>2395904</v>
      </c>
    </row>
    <row r="108" spans="1:14" x14ac:dyDescent="0.35">
      <c r="A108" t="s">
        <v>32</v>
      </c>
      <c r="B108" t="s">
        <v>31</v>
      </c>
      <c r="C108" t="s">
        <v>21</v>
      </c>
      <c r="D108" t="s">
        <v>20</v>
      </c>
      <c r="E108" t="s">
        <v>27</v>
      </c>
      <c r="F108">
        <v>5417</v>
      </c>
      <c r="G108">
        <v>4926</v>
      </c>
      <c r="H108">
        <v>466</v>
      </c>
      <c r="I108">
        <f>VLOOKUP(A108, Cost!A:I, 9, FALSE)</f>
        <v>379</v>
      </c>
      <c r="J108">
        <f t="shared" si="5"/>
        <v>87</v>
      </c>
      <c r="K108">
        <f t="shared" si="6"/>
        <v>22.955145118733508</v>
      </c>
      <c r="L108" t="str">
        <f t="shared" si="7"/>
        <v>Q32020-21</v>
      </c>
      <c r="M108">
        <f t="shared" si="8"/>
        <v>491</v>
      </c>
      <c r="N108">
        <f t="shared" si="9"/>
        <v>2295516</v>
      </c>
    </row>
    <row r="109" spans="1:14" x14ac:dyDescent="0.35">
      <c r="A109" t="s">
        <v>32</v>
      </c>
      <c r="B109" t="s">
        <v>31</v>
      </c>
      <c r="C109" t="s">
        <v>22</v>
      </c>
      <c r="D109" t="s">
        <v>20</v>
      </c>
      <c r="E109" t="s">
        <v>27</v>
      </c>
      <c r="F109">
        <v>5185</v>
      </c>
      <c r="G109">
        <v>5006</v>
      </c>
      <c r="H109">
        <v>488</v>
      </c>
      <c r="I109">
        <f>VLOOKUP(A109, Cost!A:I, 9, FALSE)</f>
        <v>379</v>
      </c>
      <c r="J109">
        <f t="shared" si="5"/>
        <v>109</v>
      </c>
      <c r="K109">
        <f t="shared" si="6"/>
        <v>28.759894459102902</v>
      </c>
      <c r="L109" t="str">
        <f t="shared" si="7"/>
        <v>Q32020-21</v>
      </c>
      <c r="M109">
        <f t="shared" si="8"/>
        <v>179</v>
      </c>
      <c r="N109">
        <f t="shared" si="9"/>
        <v>2442928</v>
      </c>
    </row>
    <row r="110" spans="1:14" x14ac:dyDescent="0.35">
      <c r="A110" t="s">
        <v>32</v>
      </c>
      <c r="B110" t="s">
        <v>31</v>
      </c>
      <c r="C110" t="s">
        <v>23</v>
      </c>
      <c r="D110" t="s">
        <v>24</v>
      </c>
      <c r="E110" t="s">
        <v>27</v>
      </c>
      <c r="F110">
        <v>6444</v>
      </c>
      <c r="G110">
        <v>5803</v>
      </c>
      <c r="H110">
        <v>404</v>
      </c>
      <c r="I110">
        <f>VLOOKUP(A110, Cost!A:I, 9, FALSE)</f>
        <v>379</v>
      </c>
      <c r="J110">
        <f t="shared" si="5"/>
        <v>25</v>
      </c>
      <c r="K110">
        <f t="shared" si="6"/>
        <v>6.5963060686015833</v>
      </c>
      <c r="L110" t="str">
        <f t="shared" si="7"/>
        <v>Q42020-21</v>
      </c>
      <c r="M110">
        <f t="shared" si="8"/>
        <v>641</v>
      </c>
      <c r="N110">
        <f t="shared" si="9"/>
        <v>2344412</v>
      </c>
    </row>
    <row r="111" spans="1:14" x14ac:dyDescent="0.35">
      <c r="A111" t="s">
        <v>32</v>
      </c>
      <c r="B111" t="s">
        <v>31</v>
      </c>
      <c r="C111" t="s">
        <v>25</v>
      </c>
      <c r="D111" t="s">
        <v>24</v>
      </c>
      <c r="E111" t="s">
        <v>27</v>
      </c>
      <c r="F111">
        <v>5409</v>
      </c>
      <c r="G111">
        <v>5111</v>
      </c>
      <c r="H111">
        <v>535</v>
      </c>
      <c r="I111">
        <f>VLOOKUP(A111, Cost!A:I, 9, FALSE)</f>
        <v>379</v>
      </c>
      <c r="J111">
        <f t="shared" si="5"/>
        <v>156</v>
      </c>
      <c r="K111">
        <f t="shared" si="6"/>
        <v>41.160949868073878</v>
      </c>
      <c r="L111" t="str">
        <f t="shared" si="7"/>
        <v>Q42020-21</v>
      </c>
      <c r="M111">
        <f t="shared" si="8"/>
        <v>298</v>
      </c>
      <c r="N111">
        <f t="shared" si="9"/>
        <v>2734385</v>
      </c>
    </row>
    <row r="112" spans="1:14" x14ac:dyDescent="0.35">
      <c r="A112" t="s">
        <v>32</v>
      </c>
      <c r="B112" t="s">
        <v>31</v>
      </c>
      <c r="C112" t="s">
        <v>26</v>
      </c>
      <c r="D112" t="s">
        <v>24</v>
      </c>
      <c r="E112" t="s">
        <v>27</v>
      </c>
      <c r="F112">
        <v>6539</v>
      </c>
      <c r="G112">
        <v>6303</v>
      </c>
      <c r="H112">
        <v>480</v>
      </c>
      <c r="I112">
        <f>VLOOKUP(A112, Cost!A:I, 9, FALSE)</f>
        <v>379</v>
      </c>
      <c r="J112">
        <f t="shared" si="5"/>
        <v>101</v>
      </c>
      <c r="K112">
        <f t="shared" si="6"/>
        <v>26.649076517150394</v>
      </c>
      <c r="L112" t="str">
        <f t="shared" si="7"/>
        <v>Q42020-21</v>
      </c>
      <c r="M112">
        <f t="shared" si="8"/>
        <v>236</v>
      </c>
      <c r="N112">
        <f t="shared" si="9"/>
        <v>3025440</v>
      </c>
    </row>
    <row r="113" spans="1:14" x14ac:dyDescent="0.35">
      <c r="A113" t="s">
        <v>32</v>
      </c>
      <c r="B113" t="s">
        <v>31</v>
      </c>
      <c r="C113" t="s">
        <v>10</v>
      </c>
      <c r="D113" t="s">
        <v>11</v>
      </c>
      <c r="E113" t="s">
        <v>28</v>
      </c>
      <c r="F113">
        <v>5478</v>
      </c>
      <c r="G113">
        <v>5223</v>
      </c>
      <c r="H113">
        <v>513</v>
      </c>
      <c r="I113">
        <f>VLOOKUP(A113, Cost!A:I, 9, FALSE)</f>
        <v>379</v>
      </c>
      <c r="J113">
        <f t="shared" si="5"/>
        <v>134</v>
      </c>
      <c r="K113">
        <f t="shared" si="6"/>
        <v>35.356200527704488</v>
      </c>
      <c r="L113" t="str">
        <f t="shared" si="7"/>
        <v>Q12021-22</v>
      </c>
      <c r="M113">
        <f t="shared" si="8"/>
        <v>255</v>
      </c>
      <c r="N113">
        <f t="shared" si="9"/>
        <v>2679399</v>
      </c>
    </row>
    <row r="114" spans="1:14" x14ac:dyDescent="0.35">
      <c r="A114" t="s">
        <v>32</v>
      </c>
      <c r="B114" t="s">
        <v>31</v>
      </c>
      <c r="C114" t="s">
        <v>13</v>
      </c>
      <c r="D114" t="s">
        <v>11</v>
      </c>
      <c r="E114" t="s">
        <v>28</v>
      </c>
      <c r="F114">
        <v>5292</v>
      </c>
      <c r="G114">
        <v>5054</v>
      </c>
      <c r="H114">
        <v>513</v>
      </c>
      <c r="I114">
        <f>VLOOKUP(A114, Cost!A:I, 9, FALSE)</f>
        <v>379</v>
      </c>
      <c r="J114">
        <f t="shared" si="5"/>
        <v>134</v>
      </c>
      <c r="K114">
        <f t="shared" si="6"/>
        <v>35.356200527704488</v>
      </c>
      <c r="L114" t="str">
        <f t="shared" si="7"/>
        <v>Q12021-22</v>
      </c>
      <c r="M114">
        <f t="shared" si="8"/>
        <v>238</v>
      </c>
      <c r="N114">
        <f t="shared" si="9"/>
        <v>2592702</v>
      </c>
    </row>
    <row r="115" spans="1:14" x14ac:dyDescent="0.35">
      <c r="A115" t="s">
        <v>32</v>
      </c>
      <c r="B115" t="s">
        <v>31</v>
      </c>
      <c r="C115" t="s">
        <v>14</v>
      </c>
      <c r="D115" t="s">
        <v>11</v>
      </c>
      <c r="E115" t="s">
        <v>28</v>
      </c>
      <c r="F115">
        <v>5325</v>
      </c>
      <c r="G115">
        <v>5119</v>
      </c>
      <c r="H115">
        <v>502</v>
      </c>
      <c r="I115">
        <f>VLOOKUP(A115, Cost!A:I, 9, FALSE)</f>
        <v>379</v>
      </c>
      <c r="J115">
        <f t="shared" si="5"/>
        <v>123</v>
      </c>
      <c r="K115">
        <f t="shared" si="6"/>
        <v>32.453825857519789</v>
      </c>
      <c r="L115" t="str">
        <f t="shared" si="7"/>
        <v>Q12021-22</v>
      </c>
      <c r="M115">
        <f t="shared" si="8"/>
        <v>206</v>
      </c>
      <c r="N115">
        <f t="shared" si="9"/>
        <v>2569738</v>
      </c>
    </row>
    <row r="116" spans="1:14" x14ac:dyDescent="0.35">
      <c r="A116" t="s">
        <v>32</v>
      </c>
      <c r="B116" t="s">
        <v>31</v>
      </c>
      <c r="C116" t="s">
        <v>15</v>
      </c>
      <c r="D116" t="s">
        <v>16</v>
      </c>
      <c r="E116" t="s">
        <v>28</v>
      </c>
      <c r="F116">
        <v>6496</v>
      </c>
      <c r="G116">
        <v>5908</v>
      </c>
      <c r="H116">
        <v>566</v>
      </c>
      <c r="I116">
        <f>VLOOKUP(A116, Cost!A:I, 9, FALSE)</f>
        <v>379</v>
      </c>
      <c r="J116">
        <f t="shared" si="5"/>
        <v>187</v>
      </c>
      <c r="K116">
        <f t="shared" si="6"/>
        <v>49.340369393139845</v>
      </c>
      <c r="L116" t="str">
        <f t="shared" si="7"/>
        <v>Q22021-22</v>
      </c>
      <c r="M116">
        <f t="shared" si="8"/>
        <v>588</v>
      </c>
      <c r="N116">
        <f t="shared" si="9"/>
        <v>3343928</v>
      </c>
    </row>
    <row r="117" spans="1:14" x14ac:dyDescent="0.35">
      <c r="A117" t="s">
        <v>32</v>
      </c>
      <c r="B117" t="s">
        <v>31</v>
      </c>
      <c r="C117" t="s">
        <v>17</v>
      </c>
      <c r="D117" t="s">
        <v>16</v>
      </c>
      <c r="E117" t="s">
        <v>28</v>
      </c>
      <c r="F117">
        <v>5189</v>
      </c>
      <c r="G117">
        <v>4807</v>
      </c>
      <c r="H117">
        <v>408</v>
      </c>
      <c r="I117">
        <f>VLOOKUP(A117, Cost!A:I, 9, FALSE)</f>
        <v>379</v>
      </c>
      <c r="J117">
        <f t="shared" si="5"/>
        <v>29</v>
      </c>
      <c r="K117">
        <f t="shared" si="6"/>
        <v>7.6517150395778364</v>
      </c>
      <c r="L117" t="str">
        <f t="shared" si="7"/>
        <v>Q22021-22</v>
      </c>
      <c r="M117">
        <f t="shared" si="8"/>
        <v>382</v>
      </c>
      <c r="N117">
        <f t="shared" si="9"/>
        <v>1961256</v>
      </c>
    </row>
    <row r="118" spans="1:14" x14ac:dyDescent="0.35">
      <c r="A118" t="s">
        <v>33</v>
      </c>
      <c r="B118" t="s">
        <v>34</v>
      </c>
      <c r="C118" t="s">
        <v>10</v>
      </c>
      <c r="D118" t="s">
        <v>11</v>
      </c>
      <c r="E118" t="s">
        <v>12</v>
      </c>
      <c r="F118">
        <v>5443</v>
      </c>
      <c r="G118">
        <v>5101</v>
      </c>
      <c r="H118">
        <v>361</v>
      </c>
      <c r="I118">
        <f>VLOOKUP(A118, Cost!A:I, 9, FALSE)</f>
        <v>332</v>
      </c>
      <c r="J118">
        <f t="shared" si="5"/>
        <v>29</v>
      </c>
      <c r="K118">
        <f t="shared" si="6"/>
        <v>8.7349397590361448</v>
      </c>
      <c r="L118" t="str">
        <f t="shared" si="7"/>
        <v>Q12019-20</v>
      </c>
      <c r="M118">
        <f t="shared" si="8"/>
        <v>342</v>
      </c>
      <c r="N118">
        <f t="shared" si="9"/>
        <v>1841461</v>
      </c>
    </row>
    <row r="119" spans="1:14" x14ac:dyDescent="0.35">
      <c r="A119" t="s">
        <v>33</v>
      </c>
      <c r="B119" t="s">
        <v>34</v>
      </c>
      <c r="C119" t="s">
        <v>13</v>
      </c>
      <c r="D119" t="s">
        <v>11</v>
      </c>
      <c r="E119" t="s">
        <v>12</v>
      </c>
      <c r="F119">
        <v>6526</v>
      </c>
      <c r="G119">
        <v>5886</v>
      </c>
      <c r="H119">
        <v>508</v>
      </c>
      <c r="I119">
        <f>VLOOKUP(A119, Cost!A:I, 9, FALSE)</f>
        <v>332</v>
      </c>
      <c r="J119">
        <f t="shared" si="5"/>
        <v>176</v>
      </c>
      <c r="K119">
        <f t="shared" si="6"/>
        <v>53.01204819277109</v>
      </c>
      <c r="L119" t="str">
        <f t="shared" si="7"/>
        <v>Q12019-20</v>
      </c>
      <c r="M119">
        <f t="shared" si="8"/>
        <v>640</v>
      </c>
      <c r="N119">
        <f t="shared" si="9"/>
        <v>2990088</v>
      </c>
    </row>
    <row r="120" spans="1:14" x14ac:dyDescent="0.35">
      <c r="A120" t="s">
        <v>33</v>
      </c>
      <c r="B120" t="s">
        <v>34</v>
      </c>
      <c r="C120" t="s">
        <v>14</v>
      </c>
      <c r="D120" t="s">
        <v>11</v>
      </c>
      <c r="E120" t="s">
        <v>12</v>
      </c>
      <c r="F120">
        <v>6445</v>
      </c>
      <c r="G120">
        <v>5482</v>
      </c>
      <c r="H120">
        <v>367</v>
      </c>
      <c r="I120">
        <f>VLOOKUP(A120, Cost!A:I, 9, FALSE)</f>
        <v>332</v>
      </c>
      <c r="J120">
        <f t="shared" si="5"/>
        <v>35</v>
      </c>
      <c r="K120">
        <f t="shared" si="6"/>
        <v>10.542168674698797</v>
      </c>
      <c r="L120" t="str">
        <f t="shared" si="7"/>
        <v>Q12019-20</v>
      </c>
      <c r="M120">
        <f t="shared" si="8"/>
        <v>963</v>
      </c>
      <c r="N120">
        <f t="shared" si="9"/>
        <v>2011894</v>
      </c>
    </row>
    <row r="121" spans="1:14" x14ac:dyDescent="0.35">
      <c r="A121" t="s">
        <v>33</v>
      </c>
      <c r="B121" t="s">
        <v>34</v>
      </c>
      <c r="C121" t="s">
        <v>15</v>
      </c>
      <c r="D121" t="s">
        <v>16</v>
      </c>
      <c r="E121" t="s">
        <v>12</v>
      </c>
      <c r="F121">
        <v>5365</v>
      </c>
      <c r="G121">
        <v>4683</v>
      </c>
      <c r="H121">
        <v>428</v>
      </c>
      <c r="I121">
        <f>VLOOKUP(A121, Cost!A:I, 9, FALSE)</f>
        <v>332</v>
      </c>
      <c r="J121">
        <f t="shared" si="5"/>
        <v>96</v>
      </c>
      <c r="K121">
        <f t="shared" si="6"/>
        <v>28.915662650602407</v>
      </c>
      <c r="L121" t="str">
        <f t="shared" si="7"/>
        <v>Q22019-20</v>
      </c>
      <c r="M121">
        <f t="shared" si="8"/>
        <v>682</v>
      </c>
      <c r="N121">
        <f t="shared" si="9"/>
        <v>2004324</v>
      </c>
    </row>
    <row r="122" spans="1:14" x14ac:dyDescent="0.35">
      <c r="A122" t="s">
        <v>33</v>
      </c>
      <c r="B122" t="s">
        <v>34</v>
      </c>
      <c r="C122" t="s">
        <v>17</v>
      </c>
      <c r="D122" t="s">
        <v>16</v>
      </c>
      <c r="E122" t="s">
        <v>12</v>
      </c>
      <c r="F122">
        <v>5194</v>
      </c>
      <c r="G122">
        <v>5012</v>
      </c>
      <c r="H122">
        <v>497</v>
      </c>
      <c r="I122">
        <f>VLOOKUP(A122, Cost!A:I, 9, FALSE)</f>
        <v>332</v>
      </c>
      <c r="J122">
        <f t="shared" si="5"/>
        <v>165</v>
      </c>
      <c r="K122">
        <f t="shared" si="6"/>
        <v>49.698795180722897</v>
      </c>
      <c r="L122" t="str">
        <f t="shared" si="7"/>
        <v>Q22019-20</v>
      </c>
      <c r="M122">
        <f t="shared" si="8"/>
        <v>182</v>
      </c>
      <c r="N122">
        <f t="shared" si="9"/>
        <v>2490964</v>
      </c>
    </row>
    <row r="123" spans="1:14" x14ac:dyDescent="0.35">
      <c r="A123" t="s">
        <v>33</v>
      </c>
      <c r="B123" t="s">
        <v>34</v>
      </c>
      <c r="C123" t="s">
        <v>18</v>
      </c>
      <c r="D123" t="s">
        <v>16</v>
      </c>
      <c r="E123" t="s">
        <v>12</v>
      </c>
      <c r="F123">
        <v>5545</v>
      </c>
      <c r="G123">
        <v>5016</v>
      </c>
      <c r="H123">
        <v>524</v>
      </c>
      <c r="I123">
        <f>VLOOKUP(A123, Cost!A:I, 9, FALSE)</f>
        <v>332</v>
      </c>
      <c r="J123">
        <f t="shared" si="5"/>
        <v>192</v>
      </c>
      <c r="K123">
        <f t="shared" si="6"/>
        <v>57.831325301204814</v>
      </c>
      <c r="L123" t="str">
        <f t="shared" si="7"/>
        <v>Q22019-20</v>
      </c>
      <c r="M123">
        <f t="shared" si="8"/>
        <v>529</v>
      </c>
      <c r="N123">
        <f t="shared" si="9"/>
        <v>2628384</v>
      </c>
    </row>
    <row r="124" spans="1:14" x14ac:dyDescent="0.35">
      <c r="A124" t="s">
        <v>33</v>
      </c>
      <c r="B124" t="s">
        <v>34</v>
      </c>
      <c r="C124" t="s">
        <v>19</v>
      </c>
      <c r="D124" t="s">
        <v>20</v>
      </c>
      <c r="E124" t="s">
        <v>12</v>
      </c>
      <c r="F124">
        <v>5673</v>
      </c>
      <c r="G124">
        <v>5525</v>
      </c>
      <c r="H124">
        <v>360</v>
      </c>
      <c r="I124">
        <f>VLOOKUP(A124, Cost!A:I, 9, FALSE)</f>
        <v>332</v>
      </c>
      <c r="J124">
        <f t="shared" si="5"/>
        <v>28</v>
      </c>
      <c r="K124">
        <f t="shared" si="6"/>
        <v>8.4337349397590362</v>
      </c>
      <c r="L124" t="str">
        <f t="shared" si="7"/>
        <v>Q32019-20</v>
      </c>
      <c r="M124">
        <f t="shared" si="8"/>
        <v>148</v>
      </c>
      <c r="N124">
        <f t="shared" si="9"/>
        <v>1989000</v>
      </c>
    </row>
    <row r="125" spans="1:14" x14ac:dyDescent="0.35">
      <c r="A125" t="s">
        <v>33</v>
      </c>
      <c r="B125" t="s">
        <v>34</v>
      </c>
      <c r="C125" t="s">
        <v>21</v>
      </c>
      <c r="D125" t="s">
        <v>20</v>
      </c>
      <c r="E125" t="s">
        <v>12</v>
      </c>
      <c r="F125">
        <v>5406</v>
      </c>
      <c r="G125">
        <v>4973</v>
      </c>
      <c r="H125">
        <v>471</v>
      </c>
      <c r="I125">
        <f>VLOOKUP(A125, Cost!A:I, 9, FALSE)</f>
        <v>332</v>
      </c>
      <c r="J125">
        <f t="shared" si="5"/>
        <v>139</v>
      </c>
      <c r="K125">
        <f t="shared" si="6"/>
        <v>41.867469879518069</v>
      </c>
      <c r="L125" t="str">
        <f t="shared" si="7"/>
        <v>Q32019-20</v>
      </c>
      <c r="M125">
        <f t="shared" si="8"/>
        <v>433</v>
      </c>
      <c r="N125">
        <f t="shared" si="9"/>
        <v>2342283</v>
      </c>
    </row>
    <row r="126" spans="1:14" x14ac:dyDescent="0.35">
      <c r="A126" t="s">
        <v>33</v>
      </c>
      <c r="B126" t="s">
        <v>34</v>
      </c>
      <c r="C126" t="s">
        <v>22</v>
      </c>
      <c r="D126" t="s">
        <v>20</v>
      </c>
      <c r="E126" t="s">
        <v>12</v>
      </c>
      <c r="F126">
        <v>5536</v>
      </c>
      <c r="G126">
        <v>4710</v>
      </c>
      <c r="H126">
        <v>555</v>
      </c>
      <c r="I126">
        <f>VLOOKUP(A126, Cost!A:I, 9, FALSE)</f>
        <v>332</v>
      </c>
      <c r="J126">
        <f t="shared" si="5"/>
        <v>223</v>
      </c>
      <c r="K126">
        <f t="shared" si="6"/>
        <v>67.168674698795186</v>
      </c>
      <c r="L126" t="str">
        <f t="shared" si="7"/>
        <v>Q32019-20</v>
      </c>
      <c r="M126">
        <f t="shared" si="8"/>
        <v>826</v>
      </c>
      <c r="N126">
        <f t="shared" si="9"/>
        <v>2614050</v>
      </c>
    </row>
    <row r="127" spans="1:14" x14ac:dyDescent="0.35">
      <c r="A127" t="s">
        <v>33</v>
      </c>
      <c r="B127" t="s">
        <v>34</v>
      </c>
      <c r="C127" t="s">
        <v>23</v>
      </c>
      <c r="D127" t="s">
        <v>24</v>
      </c>
      <c r="E127" t="s">
        <v>12</v>
      </c>
      <c r="F127">
        <v>6275</v>
      </c>
      <c r="G127">
        <v>5448</v>
      </c>
      <c r="H127">
        <v>379</v>
      </c>
      <c r="I127">
        <f>VLOOKUP(A127, Cost!A:I, 9, FALSE)</f>
        <v>332</v>
      </c>
      <c r="J127">
        <f t="shared" si="5"/>
        <v>47</v>
      </c>
      <c r="K127">
        <f t="shared" si="6"/>
        <v>14.156626506024098</v>
      </c>
      <c r="L127" t="str">
        <f t="shared" si="7"/>
        <v>Q42019-20</v>
      </c>
      <c r="M127">
        <f t="shared" si="8"/>
        <v>827</v>
      </c>
      <c r="N127">
        <f t="shared" si="9"/>
        <v>2064792</v>
      </c>
    </row>
    <row r="128" spans="1:14" x14ac:dyDescent="0.35">
      <c r="A128" t="s">
        <v>33</v>
      </c>
      <c r="B128" t="s">
        <v>34</v>
      </c>
      <c r="C128" t="s">
        <v>25</v>
      </c>
      <c r="D128" t="s">
        <v>24</v>
      </c>
      <c r="E128" t="s">
        <v>12</v>
      </c>
      <c r="F128">
        <v>5125</v>
      </c>
      <c r="G128">
        <v>4781</v>
      </c>
      <c r="H128">
        <v>412</v>
      </c>
      <c r="I128">
        <f>VLOOKUP(A128, Cost!A:I, 9, FALSE)</f>
        <v>332</v>
      </c>
      <c r="J128">
        <f t="shared" si="5"/>
        <v>80</v>
      </c>
      <c r="K128">
        <f t="shared" si="6"/>
        <v>24.096385542168676</v>
      </c>
      <c r="L128" t="str">
        <f t="shared" si="7"/>
        <v>Q42019-20</v>
      </c>
      <c r="M128">
        <f t="shared" si="8"/>
        <v>344</v>
      </c>
      <c r="N128">
        <f t="shared" si="9"/>
        <v>1969772</v>
      </c>
    </row>
    <row r="129" spans="1:14" x14ac:dyDescent="0.35">
      <c r="A129" t="s">
        <v>33</v>
      </c>
      <c r="B129" t="s">
        <v>34</v>
      </c>
      <c r="C129" t="s">
        <v>26</v>
      </c>
      <c r="D129" t="s">
        <v>24</v>
      </c>
      <c r="E129" t="s">
        <v>12</v>
      </c>
      <c r="F129">
        <v>5759</v>
      </c>
      <c r="G129">
        <v>5769</v>
      </c>
      <c r="H129">
        <v>450</v>
      </c>
      <c r="I129">
        <f>VLOOKUP(A129, Cost!A:I, 9, FALSE)</f>
        <v>332</v>
      </c>
      <c r="J129">
        <f t="shared" si="5"/>
        <v>118</v>
      </c>
      <c r="K129">
        <f t="shared" si="6"/>
        <v>35.542168674698793</v>
      </c>
      <c r="L129" t="str">
        <f t="shared" si="7"/>
        <v>Q42019-20</v>
      </c>
      <c r="M129">
        <f t="shared" si="8"/>
        <v>-10</v>
      </c>
      <c r="N129">
        <f t="shared" si="9"/>
        <v>2596050</v>
      </c>
    </row>
    <row r="130" spans="1:14" x14ac:dyDescent="0.35">
      <c r="A130" t="s">
        <v>33</v>
      </c>
      <c r="B130" t="s">
        <v>34</v>
      </c>
      <c r="C130" t="s">
        <v>10</v>
      </c>
      <c r="D130" t="s">
        <v>11</v>
      </c>
      <c r="E130" t="s">
        <v>27</v>
      </c>
      <c r="F130">
        <v>5908</v>
      </c>
      <c r="G130">
        <v>5234</v>
      </c>
      <c r="H130">
        <v>424</v>
      </c>
      <c r="I130">
        <f>VLOOKUP(A130, Cost!A:I, 9, FALSE)</f>
        <v>332</v>
      </c>
      <c r="J130">
        <f t="shared" si="5"/>
        <v>92</v>
      </c>
      <c r="K130">
        <f t="shared" si="6"/>
        <v>27.710843373493976</v>
      </c>
      <c r="L130" t="str">
        <f t="shared" si="7"/>
        <v>Q12020-21</v>
      </c>
      <c r="M130">
        <f t="shared" si="8"/>
        <v>674</v>
      </c>
      <c r="N130">
        <f t="shared" si="9"/>
        <v>2219216</v>
      </c>
    </row>
    <row r="131" spans="1:14" x14ac:dyDescent="0.35">
      <c r="A131" t="s">
        <v>33</v>
      </c>
      <c r="B131" t="s">
        <v>34</v>
      </c>
      <c r="C131" t="s">
        <v>13</v>
      </c>
      <c r="D131" t="s">
        <v>11</v>
      </c>
      <c r="E131" t="s">
        <v>27</v>
      </c>
      <c r="F131">
        <v>5785</v>
      </c>
      <c r="G131">
        <v>5110</v>
      </c>
      <c r="H131">
        <v>444</v>
      </c>
      <c r="I131">
        <f>VLOOKUP(A131, Cost!A:I, 9, FALSE)</f>
        <v>332</v>
      </c>
      <c r="J131">
        <f t="shared" ref="J131:J175" si="10">H131-I131</f>
        <v>112</v>
      </c>
      <c r="K131">
        <f t="shared" ref="K131:K175" si="11">(J131/I131)*100</f>
        <v>33.734939759036145</v>
      </c>
      <c r="L131" t="str">
        <f t="shared" ref="L131:L175" si="12">_xlfn.CONCAT(D131, E131)</f>
        <v>Q12020-21</v>
      </c>
      <c r="M131">
        <f t="shared" ref="M131:M175" si="13">F131 - G131</f>
        <v>675</v>
      </c>
      <c r="N131">
        <f t="shared" ref="N131:N175" si="14">G131*H131</f>
        <v>2268840</v>
      </c>
    </row>
    <row r="132" spans="1:14" x14ac:dyDescent="0.35">
      <c r="A132" t="s">
        <v>33</v>
      </c>
      <c r="B132" t="s">
        <v>34</v>
      </c>
      <c r="C132" t="s">
        <v>14</v>
      </c>
      <c r="D132" t="s">
        <v>11</v>
      </c>
      <c r="E132" t="s">
        <v>27</v>
      </c>
      <c r="F132">
        <v>6151</v>
      </c>
      <c r="G132">
        <v>5852</v>
      </c>
      <c r="H132">
        <v>489</v>
      </c>
      <c r="I132">
        <f>VLOOKUP(A132, Cost!A:I, 9, FALSE)</f>
        <v>332</v>
      </c>
      <c r="J132">
        <f t="shared" si="10"/>
        <v>157</v>
      </c>
      <c r="K132">
        <f t="shared" si="11"/>
        <v>47.289156626506021</v>
      </c>
      <c r="L132" t="str">
        <f t="shared" si="12"/>
        <v>Q12020-21</v>
      </c>
      <c r="M132">
        <f t="shared" si="13"/>
        <v>299</v>
      </c>
      <c r="N132">
        <f t="shared" si="14"/>
        <v>2861628</v>
      </c>
    </row>
    <row r="133" spans="1:14" x14ac:dyDescent="0.35">
      <c r="A133" t="s">
        <v>33</v>
      </c>
      <c r="B133" t="s">
        <v>34</v>
      </c>
      <c r="C133" t="s">
        <v>15</v>
      </c>
      <c r="D133" t="s">
        <v>16</v>
      </c>
      <c r="E133" t="s">
        <v>27</v>
      </c>
      <c r="F133">
        <v>6775</v>
      </c>
      <c r="G133">
        <v>6348</v>
      </c>
      <c r="H133">
        <v>388</v>
      </c>
      <c r="I133">
        <f>VLOOKUP(A133, Cost!A:I, 9, FALSE)</f>
        <v>332</v>
      </c>
      <c r="J133">
        <f t="shared" si="10"/>
        <v>56</v>
      </c>
      <c r="K133">
        <f t="shared" si="11"/>
        <v>16.867469879518072</v>
      </c>
      <c r="L133" t="str">
        <f t="shared" si="12"/>
        <v>Q22020-21</v>
      </c>
      <c r="M133">
        <f t="shared" si="13"/>
        <v>427</v>
      </c>
      <c r="N133">
        <f t="shared" si="14"/>
        <v>2463024</v>
      </c>
    </row>
    <row r="134" spans="1:14" x14ac:dyDescent="0.35">
      <c r="A134" t="s">
        <v>33</v>
      </c>
      <c r="B134" t="s">
        <v>34</v>
      </c>
      <c r="C134" t="s">
        <v>17</v>
      </c>
      <c r="D134" t="s">
        <v>16</v>
      </c>
      <c r="E134" t="s">
        <v>27</v>
      </c>
      <c r="F134">
        <v>5582</v>
      </c>
      <c r="G134">
        <v>4706</v>
      </c>
      <c r="H134">
        <v>521</v>
      </c>
      <c r="I134">
        <f>VLOOKUP(A134, Cost!A:I, 9, FALSE)</f>
        <v>332</v>
      </c>
      <c r="J134">
        <f t="shared" si="10"/>
        <v>189</v>
      </c>
      <c r="K134">
        <f t="shared" si="11"/>
        <v>56.92771084337349</v>
      </c>
      <c r="L134" t="str">
        <f t="shared" si="12"/>
        <v>Q22020-21</v>
      </c>
      <c r="M134">
        <f t="shared" si="13"/>
        <v>876</v>
      </c>
      <c r="N134">
        <f t="shared" si="14"/>
        <v>2451826</v>
      </c>
    </row>
    <row r="135" spans="1:14" x14ac:dyDescent="0.35">
      <c r="A135" t="s">
        <v>33</v>
      </c>
      <c r="B135" t="s">
        <v>34</v>
      </c>
      <c r="C135" t="s">
        <v>18</v>
      </c>
      <c r="D135" t="s">
        <v>16</v>
      </c>
      <c r="E135" t="s">
        <v>27</v>
      </c>
      <c r="F135">
        <v>5621</v>
      </c>
      <c r="G135">
        <v>5183</v>
      </c>
      <c r="H135">
        <v>408</v>
      </c>
      <c r="I135">
        <f>VLOOKUP(A135, Cost!A:I, 9, FALSE)</f>
        <v>332</v>
      </c>
      <c r="J135">
        <f t="shared" si="10"/>
        <v>76</v>
      </c>
      <c r="K135">
        <f t="shared" si="11"/>
        <v>22.891566265060241</v>
      </c>
      <c r="L135" t="str">
        <f t="shared" si="12"/>
        <v>Q22020-21</v>
      </c>
      <c r="M135">
        <f t="shared" si="13"/>
        <v>438</v>
      </c>
      <c r="N135">
        <f t="shared" si="14"/>
        <v>2114664</v>
      </c>
    </row>
    <row r="136" spans="1:14" x14ac:dyDescent="0.35">
      <c r="A136" t="s">
        <v>33</v>
      </c>
      <c r="B136" t="s">
        <v>34</v>
      </c>
      <c r="C136" t="s">
        <v>19</v>
      </c>
      <c r="D136" t="s">
        <v>20</v>
      </c>
      <c r="E136" t="s">
        <v>27</v>
      </c>
      <c r="F136">
        <v>6105</v>
      </c>
      <c r="G136">
        <v>5457</v>
      </c>
      <c r="H136">
        <v>453</v>
      </c>
      <c r="I136">
        <f>VLOOKUP(A136, Cost!A:I, 9, FALSE)</f>
        <v>332</v>
      </c>
      <c r="J136">
        <f t="shared" si="10"/>
        <v>121</v>
      </c>
      <c r="K136">
        <f t="shared" si="11"/>
        <v>36.445783132530117</v>
      </c>
      <c r="L136" t="str">
        <f t="shared" si="12"/>
        <v>Q32020-21</v>
      </c>
      <c r="M136">
        <f t="shared" si="13"/>
        <v>648</v>
      </c>
      <c r="N136">
        <f t="shared" si="14"/>
        <v>2472021</v>
      </c>
    </row>
    <row r="137" spans="1:14" x14ac:dyDescent="0.35">
      <c r="A137" t="s">
        <v>33</v>
      </c>
      <c r="B137" t="s">
        <v>34</v>
      </c>
      <c r="C137" t="s">
        <v>21</v>
      </c>
      <c r="D137" t="s">
        <v>20</v>
      </c>
      <c r="E137" t="s">
        <v>27</v>
      </c>
      <c r="F137">
        <v>6230</v>
      </c>
      <c r="G137">
        <v>5792</v>
      </c>
      <c r="H137">
        <v>378</v>
      </c>
      <c r="I137">
        <f>VLOOKUP(A137, Cost!A:I, 9, FALSE)</f>
        <v>332</v>
      </c>
      <c r="J137">
        <f t="shared" si="10"/>
        <v>46</v>
      </c>
      <c r="K137">
        <f t="shared" si="11"/>
        <v>13.855421686746988</v>
      </c>
      <c r="L137" t="str">
        <f t="shared" si="12"/>
        <v>Q32020-21</v>
      </c>
      <c r="M137">
        <f t="shared" si="13"/>
        <v>438</v>
      </c>
      <c r="N137">
        <f t="shared" si="14"/>
        <v>2189376</v>
      </c>
    </row>
    <row r="138" spans="1:14" x14ac:dyDescent="0.35">
      <c r="A138" t="s">
        <v>33</v>
      </c>
      <c r="B138" t="s">
        <v>34</v>
      </c>
      <c r="C138" t="s">
        <v>22</v>
      </c>
      <c r="D138" t="s">
        <v>20</v>
      </c>
      <c r="E138" t="s">
        <v>27</v>
      </c>
      <c r="F138">
        <v>6246</v>
      </c>
      <c r="G138">
        <v>6030</v>
      </c>
      <c r="H138">
        <v>457</v>
      </c>
      <c r="I138">
        <f>VLOOKUP(A138, Cost!A:I, 9, FALSE)</f>
        <v>332</v>
      </c>
      <c r="J138">
        <f t="shared" si="10"/>
        <v>125</v>
      </c>
      <c r="K138">
        <f t="shared" si="11"/>
        <v>37.650602409638559</v>
      </c>
      <c r="L138" t="str">
        <f t="shared" si="12"/>
        <v>Q32020-21</v>
      </c>
      <c r="M138">
        <f t="shared" si="13"/>
        <v>216</v>
      </c>
      <c r="N138">
        <f t="shared" si="14"/>
        <v>2755710</v>
      </c>
    </row>
    <row r="139" spans="1:14" x14ac:dyDescent="0.35">
      <c r="A139" t="s">
        <v>33</v>
      </c>
      <c r="B139" t="s">
        <v>34</v>
      </c>
      <c r="C139" t="s">
        <v>23</v>
      </c>
      <c r="D139" t="s">
        <v>24</v>
      </c>
      <c r="E139" t="s">
        <v>27</v>
      </c>
      <c r="F139">
        <v>5796</v>
      </c>
      <c r="G139">
        <v>5540</v>
      </c>
      <c r="H139">
        <v>499</v>
      </c>
      <c r="I139">
        <f>VLOOKUP(A139, Cost!A:I, 9, FALSE)</f>
        <v>332</v>
      </c>
      <c r="J139">
        <f t="shared" si="10"/>
        <v>167</v>
      </c>
      <c r="K139">
        <f t="shared" si="11"/>
        <v>50.30120481927711</v>
      </c>
      <c r="L139" t="str">
        <f t="shared" si="12"/>
        <v>Q42020-21</v>
      </c>
      <c r="M139">
        <f t="shared" si="13"/>
        <v>256</v>
      </c>
      <c r="N139">
        <f t="shared" si="14"/>
        <v>2764460</v>
      </c>
    </row>
    <row r="140" spans="1:14" x14ac:dyDescent="0.35">
      <c r="A140" t="s">
        <v>33</v>
      </c>
      <c r="B140" t="s">
        <v>34</v>
      </c>
      <c r="C140" t="s">
        <v>25</v>
      </c>
      <c r="D140" t="s">
        <v>24</v>
      </c>
      <c r="E140" t="s">
        <v>27</v>
      </c>
      <c r="F140">
        <v>5885</v>
      </c>
      <c r="G140">
        <v>5418</v>
      </c>
      <c r="H140">
        <v>480</v>
      </c>
      <c r="I140">
        <f>VLOOKUP(A140, Cost!A:I, 9, FALSE)</f>
        <v>332</v>
      </c>
      <c r="J140">
        <f t="shared" si="10"/>
        <v>148</v>
      </c>
      <c r="K140">
        <f t="shared" si="11"/>
        <v>44.578313253012048</v>
      </c>
      <c r="L140" t="str">
        <f t="shared" si="12"/>
        <v>Q42020-21</v>
      </c>
      <c r="M140">
        <f t="shared" si="13"/>
        <v>467</v>
      </c>
      <c r="N140">
        <f t="shared" si="14"/>
        <v>2600640</v>
      </c>
    </row>
    <row r="141" spans="1:14" x14ac:dyDescent="0.35">
      <c r="A141" t="s">
        <v>33</v>
      </c>
      <c r="B141" t="s">
        <v>34</v>
      </c>
      <c r="C141" t="s">
        <v>26</v>
      </c>
      <c r="D141" t="s">
        <v>24</v>
      </c>
      <c r="E141" t="s">
        <v>27</v>
      </c>
      <c r="F141">
        <v>5970</v>
      </c>
      <c r="G141">
        <v>5229</v>
      </c>
      <c r="H141">
        <v>492</v>
      </c>
      <c r="I141">
        <f>VLOOKUP(A141, Cost!A:I, 9, FALSE)</f>
        <v>332</v>
      </c>
      <c r="J141">
        <f t="shared" si="10"/>
        <v>160</v>
      </c>
      <c r="K141">
        <f t="shared" si="11"/>
        <v>48.192771084337352</v>
      </c>
      <c r="L141" t="str">
        <f t="shared" si="12"/>
        <v>Q42020-21</v>
      </c>
      <c r="M141">
        <f t="shared" si="13"/>
        <v>741</v>
      </c>
      <c r="N141">
        <f t="shared" si="14"/>
        <v>2572668</v>
      </c>
    </row>
    <row r="142" spans="1:14" x14ac:dyDescent="0.35">
      <c r="A142" t="s">
        <v>33</v>
      </c>
      <c r="B142" t="s">
        <v>34</v>
      </c>
      <c r="C142" t="s">
        <v>10</v>
      </c>
      <c r="D142" t="s">
        <v>11</v>
      </c>
      <c r="E142" t="s">
        <v>28</v>
      </c>
      <c r="F142">
        <v>5601</v>
      </c>
      <c r="G142">
        <v>5092</v>
      </c>
      <c r="H142">
        <v>494</v>
      </c>
      <c r="I142">
        <f>VLOOKUP(A142, Cost!A:I, 9, FALSE)</f>
        <v>332</v>
      </c>
      <c r="J142">
        <f t="shared" si="10"/>
        <v>162</v>
      </c>
      <c r="K142">
        <f t="shared" si="11"/>
        <v>48.795180722891565</v>
      </c>
      <c r="L142" t="str">
        <f t="shared" si="12"/>
        <v>Q12021-22</v>
      </c>
      <c r="M142">
        <f t="shared" si="13"/>
        <v>509</v>
      </c>
      <c r="N142">
        <f t="shared" si="14"/>
        <v>2515448</v>
      </c>
    </row>
    <row r="143" spans="1:14" x14ac:dyDescent="0.35">
      <c r="A143" t="s">
        <v>33</v>
      </c>
      <c r="B143" t="s">
        <v>34</v>
      </c>
      <c r="C143" t="s">
        <v>13</v>
      </c>
      <c r="D143" t="s">
        <v>11</v>
      </c>
      <c r="E143" t="s">
        <v>28</v>
      </c>
      <c r="F143">
        <v>5276</v>
      </c>
      <c r="G143">
        <v>5000</v>
      </c>
      <c r="H143">
        <v>367</v>
      </c>
      <c r="I143">
        <f>VLOOKUP(A143, Cost!A:I, 9, FALSE)</f>
        <v>332</v>
      </c>
      <c r="J143">
        <f t="shared" si="10"/>
        <v>35</v>
      </c>
      <c r="K143">
        <f t="shared" si="11"/>
        <v>10.542168674698797</v>
      </c>
      <c r="L143" t="str">
        <f t="shared" si="12"/>
        <v>Q12021-22</v>
      </c>
      <c r="M143">
        <f t="shared" si="13"/>
        <v>276</v>
      </c>
      <c r="N143">
        <f t="shared" si="14"/>
        <v>1835000</v>
      </c>
    </row>
    <row r="144" spans="1:14" x14ac:dyDescent="0.35">
      <c r="A144" t="s">
        <v>33</v>
      </c>
      <c r="B144" t="s">
        <v>34</v>
      </c>
      <c r="C144" t="s">
        <v>14</v>
      </c>
      <c r="D144" t="s">
        <v>11</v>
      </c>
      <c r="E144" t="s">
        <v>28</v>
      </c>
      <c r="F144">
        <v>6069</v>
      </c>
      <c r="G144">
        <v>5864</v>
      </c>
      <c r="H144">
        <v>408</v>
      </c>
      <c r="I144">
        <f>VLOOKUP(A144, Cost!A:I, 9, FALSE)</f>
        <v>332</v>
      </c>
      <c r="J144">
        <f t="shared" si="10"/>
        <v>76</v>
      </c>
      <c r="K144">
        <f t="shared" si="11"/>
        <v>22.891566265060241</v>
      </c>
      <c r="L144" t="str">
        <f t="shared" si="12"/>
        <v>Q12021-22</v>
      </c>
      <c r="M144">
        <f t="shared" si="13"/>
        <v>205</v>
      </c>
      <c r="N144">
        <f t="shared" si="14"/>
        <v>2392512</v>
      </c>
    </row>
    <row r="145" spans="1:14" x14ac:dyDescent="0.35">
      <c r="A145" t="s">
        <v>33</v>
      </c>
      <c r="B145" t="s">
        <v>34</v>
      </c>
      <c r="C145" t="s">
        <v>15</v>
      </c>
      <c r="D145" t="s">
        <v>16</v>
      </c>
      <c r="E145" t="s">
        <v>28</v>
      </c>
      <c r="F145">
        <v>6231</v>
      </c>
      <c r="G145">
        <v>5410</v>
      </c>
      <c r="H145">
        <v>454</v>
      </c>
      <c r="I145">
        <f>VLOOKUP(A145, Cost!A:I, 9, FALSE)</f>
        <v>332</v>
      </c>
      <c r="J145">
        <f t="shared" si="10"/>
        <v>122</v>
      </c>
      <c r="K145">
        <f t="shared" si="11"/>
        <v>36.746987951807228</v>
      </c>
      <c r="L145" t="str">
        <f t="shared" si="12"/>
        <v>Q22021-22</v>
      </c>
      <c r="M145">
        <f t="shared" si="13"/>
        <v>821</v>
      </c>
      <c r="N145">
        <f t="shared" si="14"/>
        <v>2456140</v>
      </c>
    </row>
    <row r="146" spans="1:14" x14ac:dyDescent="0.35">
      <c r="A146" t="s">
        <v>33</v>
      </c>
      <c r="B146" t="s">
        <v>34</v>
      </c>
      <c r="C146" t="s">
        <v>17</v>
      </c>
      <c r="D146" t="s">
        <v>16</v>
      </c>
      <c r="E146" t="s">
        <v>28</v>
      </c>
      <c r="F146">
        <v>5585</v>
      </c>
      <c r="G146">
        <v>5132</v>
      </c>
      <c r="H146">
        <v>393</v>
      </c>
      <c r="I146">
        <f>VLOOKUP(A146, Cost!A:I, 9, FALSE)</f>
        <v>332</v>
      </c>
      <c r="J146">
        <f t="shared" si="10"/>
        <v>61</v>
      </c>
      <c r="K146">
        <f t="shared" si="11"/>
        <v>18.373493975903614</v>
      </c>
      <c r="L146" t="str">
        <f t="shared" si="12"/>
        <v>Q22021-22</v>
      </c>
      <c r="M146">
        <f t="shared" si="13"/>
        <v>453</v>
      </c>
      <c r="N146">
        <f t="shared" si="14"/>
        <v>2016876</v>
      </c>
    </row>
    <row r="147" spans="1:14" x14ac:dyDescent="0.35">
      <c r="A147" t="s">
        <v>35</v>
      </c>
      <c r="B147" t="s">
        <v>34</v>
      </c>
      <c r="C147" t="s">
        <v>10</v>
      </c>
      <c r="D147" t="s">
        <v>11</v>
      </c>
      <c r="E147" t="s">
        <v>12</v>
      </c>
      <c r="F147">
        <v>6364</v>
      </c>
      <c r="G147">
        <v>6015</v>
      </c>
      <c r="H147">
        <v>353</v>
      </c>
      <c r="I147">
        <f>VLOOKUP(A147, Cost!A:I, 9, FALSE)</f>
        <v>428</v>
      </c>
      <c r="J147">
        <f t="shared" si="10"/>
        <v>-75</v>
      </c>
      <c r="K147">
        <f t="shared" si="11"/>
        <v>-17.523364485981308</v>
      </c>
      <c r="L147" t="str">
        <f t="shared" si="12"/>
        <v>Q12019-20</v>
      </c>
      <c r="M147">
        <f t="shared" si="13"/>
        <v>349</v>
      </c>
      <c r="N147">
        <f t="shared" si="14"/>
        <v>2123295</v>
      </c>
    </row>
    <row r="148" spans="1:14" x14ac:dyDescent="0.35">
      <c r="A148" t="s">
        <v>35</v>
      </c>
      <c r="B148" t="s">
        <v>34</v>
      </c>
      <c r="C148" t="s">
        <v>13</v>
      </c>
      <c r="D148" t="s">
        <v>11</v>
      </c>
      <c r="E148" t="s">
        <v>12</v>
      </c>
      <c r="F148">
        <v>5201</v>
      </c>
      <c r="G148">
        <v>5067</v>
      </c>
      <c r="H148">
        <v>479</v>
      </c>
      <c r="I148">
        <f>VLOOKUP(A148, Cost!A:I, 9, FALSE)</f>
        <v>428</v>
      </c>
      <c r="J148">
        <f t="shared" si="10"/>
        <v>51</v>
      </c>
      <c r="K148">
        <f t="shared" si="11"/>
        <v>11.915887850467289</v>
      </c>
      <c r="L148" t="str">
        <f t="shared" si="12"/>
        <v>Q12019-20</v>
      </c>
      <c r="M148">
        <f t="shared" si="13"/>
        <v>134</v>
      </c>
      <c r="N148">
        <f t="shared" si="14"/>
        <v>2427093</v>
      </c>
    </row>
    <row r="149" spans="1:14" x14ac:dyDescent="0.35">
      <c r="A149" t="s">
        <v>35</v>
      </c>
      <c r="B149" t="s">
        <v>34</v>
      </c>
      <c r="C149" t="s">
        <v>14</v>
      </c>
      <c r="D149" t="s">
        <v>11</v>
      </c>
      <c r="E149" t="s">
        <v>12</v>
      </c>
      <c r="F149">
        <v>5762</v>
      </c>
      <c r="G149">
        <v>5481</v>
      </c>
      <c r="H149">
        <v>465</v>
      </c>
      <c r="I149">
        <f>VLOOKUP(A149, Cost!A:I, 9, FALSE)</f>
        <v>428</v>
      </c>
      <c r="J149">
        <f t="shared" si="10"/>
        <v>37</v>
      </c>
      <c r="K149">
        <f t="shared" si="11"/>
        <v>8.6448598130841123</v>
      </c>
      <c r="L149" t="str">
        <f t="shared" si="12"/>
        <v>Q12019-20</v>
      </c>
      <c r="M149">
        <f t="shared" si="13"/>
        <v>281</v>
      </c>
      <c r="N149">
        <f t="shared" si="14"/>
        <v>2548665</v>
      </c>
    </row>
    <row r="150" spans="1:14" x14ac:dyDescent="0.35">
      <c r="A150" t="s">
        <v>35</v>
      </c>
      <c r="B150" t="s">
        <v>34</v>
      </c>
      <c r="C150" t="s">
        <v>15</v>
      </c>
      <c r="D150" t="s">
        <v>16</v>
      </c>
      <c r="E150" t="s">
        <v>12</v>
      </c>
      <c r="F150">
        <v>5145</v>
      </c>
      <c r="G150">
        <v>4510</v>
      </c>
      <c r="H150">
        <v>461</v>
      </c>
      <c r="I150">
        <f>VLOOKUP(A150, Cost!A:I, 9, FALSE)</f>
        <v>428</v>
      </c>
      <c r="J150">
        <f t="shared" si="10"/>
        <v>33</v>
      </c>
      <c r="K150">
        <f t="shared" si="11"/>
        <v>7.7102803738317753</v>
      </c>
      <c r="L150" t="str">
        <f t="shared" si="12"/>
        <v>Q22019-20</v>
      </c>
      <c r="M150">
        <f t="shared" si="13"/>
        <v>635</v>
      </c>
      <c r="N150">
        <f t="shared" si="14"/>
        <v>2079110</v>
      </c>
    </row>
    <row r="151" spans="1:14" x14ac:dyDescent="0.35">
      <c r="A151" t="s">
        <v>35</v>
      </c>
      <c r="B151" t="s">
        <v>34</v>
      </c>
      <c r="C151" t="s">
        <v>17</v>
      </c>
      <c r="D151" t="s">
        <v>16</v>
      </c>
      <c r="E151" t="s">
        <v>12</v>
      </c>
      <c r="F151">
        <v>5428</v>
      </c>
      <c r="G151">
        <v>4990</v>
      </c>
      <c r="H151">
        <v>570</v>
      </c>
      <c r="I151">
        <f>VLOOKUP(A151, Cost!A:I, 9, FALSE)</f>
        <v>428</v>
      </c>
      <c r="J151">
        <f t="shared" si="10"/>
        <v>142</v>
      </c>
      <c r="K151">
        <f t="shared" si="11"/>
        <v>33.177570093457945</v>
      </c>
      <c r="L151" t="str">
        <f t="shared" si="12"/>
        <v>Q22019-20</v>
      </c>
      <c r="M151">
        <f t="shared" si="13"/>
        <v>438</v>
      </c>
      <c r="N151">
        <f t="shared" si="14"/>
        <v>2844300</v>
      </c>
    </row>
    <row r="152" spans="1:14" x14ac:dyDescent="0.35">
      <c r="A152" t="s">
        <v>35</v>
      </c>
      <c r="B152" t="s">
        <v>34</v>
      </c>
      <c r="C152" t="s">
        <v>18</v>
      </c>
      <c r="D152" t="s">
        <v>16</v>
      </c>
      <c r="E152" t="s">
        <v>12</v>
      </c>
      <c r="F152">
        <v>5757</v>
      </c>
      <c r="G152">
        <v>5291</v>
      </c>
      <c r="H152">
        <v>404</v>
      </c>
      <c r="I152">
        <f>VLOOKUP(A152, Cost!A:I, 9, FALSE)</f>
        <v>428</v>
      </c>
      <c r="J152">
        <f t="shared" si="10"/>
        <v>-24</v>
      </c>
      <c r="K152">
        <f t="shared" si="11"/>
        <v>-5.6074766355140184</v>
      </c>
      <c r="L152" t="str">
        <f t="shared" si="12"/>
        <v>Q22019-20</v>
      </c>
      <c r="M152">
        <f t="shared" si="13"/>
        <v>466</v>
      </c>
      <c r="N152">
        <f t="shared" si="14"/>
        <v>2137564</v>
      </c>
    </row>
    <row r="153" spans="1:14" x14ac:dyDescent="0.35">
      <c r="A153" t="s">
        <v>35</v>
      </c>
      <c r="B153" t="s">
        <v>34</v>
      </c>
      <c r="C153" t="s">
        <v>19</v>
      </c>
      <c r="D153" t="s">
        <v>20</v>
      </c>
      <c r="E153" t="s">
        <v>12</v>
      </c>
      <c r="F153">
        <v>5944</v>
      </c>
      <c r="G153">
        <v>5792</v>
      </c>
      <c r="H153">
        <v>570</v>
      </c>
      <c r="I153">
        <f>VLOOKUP(A153, Cost!A:I, 9, FALSE)</f>
        <v>428</v>
      </c>
      <c r="J153">
        <f t="shared" si="10"/>
        <v>142</v>
      </c>
      <c r="K153">
        <f t="shared" si="11"/>
        <v>33.177570093457945</v>
      </c>
      <c r="L153" t="str">
        <f t="shared" si="12"/>
        <v>Q32019-20</v>
      </c>
      <c r="M153">
        <f t="shared" si="13"/>
        <v>152</v>
      </c>
      <c r="N153">
        <f t="shared" si="14"/>
        <v>3301440</v>
      </c>
    </row>
    <row r="154" spans="1:14" x14ac:dyDescent="0.35">
      <c r="A154" t="s">
        <v>35</v>
      </c>
      <c r="B154" t="s">
        <v>34</v>
      </c>
      <c r="C154" t="s">
        <v>21</v>
      </c>
      <c r="D154" t="s">
        <v>20</v>
      </c>
      <c r="E154" t="s">
        <v>12</v>
      </c>
      <c r="F154">
        <v>5260</v>
      </c>
      <c r="G154">
        <v>4566</v>
      </c>
      <c r="H154">
        <v>534</v>
      </c>
      <c r="I154">
        <f>VLOOKUP(A154, Cost!A:I, 9, FALSE)</f>
        <v>428</v>
      </c>
      <c r="J154">
        <f t="shared" si="10"/>
        <v>106</v>
      </c>
      <c r="K154">
        <f t="shared" si="11"/>
        <v>24.766355140186917</v>
      </c>
      <c r="L154" t="str">
        <f t="shared" si="12"/>
        <v>Q32019-20</v>
      </c>
      <c r="M154">
        <f t="shared" si="13"/>
        <v>694</v>
      </c>
      <c r="N154">
        <f t="shared" si="14"/>
        <v>2438244</v>
      </c>
    </row>
    <row r="155" spans="1:14" x14ac:dyDescent="0.35">
      <c r="A155" t="s">
        <v>35</v>
      </c>
      <c r="B155" t="s">
        <v>34</v>
      </c>
      <c r="C155" t="s">
        <v>22</v>
      </c>
      <c r="D155" t="s">
        <v>20</v>
      </c>
      <c r="E155" t="s">
        <v>12</v>
      </c>
      <c r="F155">
        <v>6865</v>
      </c>
      <c r="G155">
        <v>6146</v>
      </c>
      <c r="H155">
        <v>353</v>
      </c>
      <c r="I155">
        <f>VLOOKUP(A155, Cost!A:I, 9, FALSE)</f>
        <v>428</v>
      </c>
      <c r="J155">
        <f t="shared" si="10"/>
        <v>-75</v>
      </c>
      <c r="K155">
        <f t="shared" si="11"/>
        <v>-17.523364485981308</v>
      </c>
      <c r="L155" t="str">
        <f t="shared" si="12"/>
        <v>Q32019-20</v>
      </c>
      <c r="M155">
        <f t="shared" si="13"/>
        <v>719</v>
      </c>
      <c r="N155">
        <f t="shared" si="14"/>
        <v>2169538</v>
      </c>
    </row>
    <row r="156" spans="1:14" x14ac:dyDescent="0.35">
      <c r="A156" t="s">
        <v>35</v>
      </c>
      <c r="B156" t="s">
        <v>34</v>
      </c>
      <c r="C156" t="s">
        <v>23</v>
      </c>
      <c r="D156" t="s">
        <v>24</v>
      </c>
      <c r="E156" t="s">
        <v>12</v>
      </c>
      <c r="F156">
        <v>5629</v>
      </c>
      <c r="G156">
        <v>5126</v>
      </c>
      <c r="H156">
        <v>404</v>
      </c>
      <c r="I156">
        <f>VLOOKUP(A156, Cost!A:I, 9, FALSE)</f>
        <v>428</v>
      </c>
      <c r="J156">
        <f t="shared" si="10"/>
        <v>-24</v>
      </c>
      <c r="K156">
        <f t="shared" si="11"/>
        <v>-5.6074766355140184</v>
      </c>
      <c r="L156" t="str">
        <f t="shared" si="12"/>
        <v>Q42019-20</v>
      </c>
      <c r="M156">
        <f t="shared" si="13"/>
        <v>503</v>
      </c>
      <c r="N156">
        <f t="shared" si="14"/>
        <v>2070904</v>
      </c>
    </row>
    <row r="157" spans="1:14" x14ac:dyDescent="0.35">
      <c r="A157" t="s">
        <v>35</v>
      </c>
      <c r="B157" t="s">
        <v>34</v>
      </c>
      <c r="C157" t="s">
        <v>25</v>
      </c>
      <c r="D157" t="s">
        <v>24</v>
      </c>
      <c r="E157" t="s">
        <v>12</v>
      </c>
      <c r="F157">
        <v>5584</v>
      </c>
      <c r="G157">
        <v>4990</v>
      </c>
      <c r="H157">
        <v>508</v>
      </c>
      <c r="I157">
        <f>VLOOKUP(A157, Cost!A:I, 9, FALSE)</f>
        <v>428</v>
      </c>
      <c r="J157">
        <f t="shared" si="10"/>
        <v>80</v>
      </c>
      <c r="K157">
        <f t="shared" si="11"/>
        <v>18.691588785046729</v>
      </c>
      <c r="L157" t="str">
        <f t="shared" si="12"/>
        <v>Q42019-20</v>
      </c>
      <c r="M157">
        <f t="shared" si="13"/>
        <v>594</v>
      </c>
      <c r="N157">
        <f t="shared" si="14"/>
        <v>2534920</v>
      </c>
    </row>
    <row r="158" spans="1:14" x14ac:dyDescent="0.35">
      <c r="A158" t="s">
        <v>35</v>
      </c>
      <c r="B158" t="s">
        <v>34</v>
      </c>
      <c r="C158" t="s">
        <v>26</v>
      </c>
      <c r="D158" t="s">
        <v>24</v>
      </c>
      <c r="E158" t="s">
        <v>12</v>
      </c>
      <c r="F158">
        <v>6229</v>
      </c>
      <c r="G158">
        <v>5614</v>
      </c>
      <c r="H158">
        <v>436</v>
      </c>
      <c r="I158">
        <f>VLOOKUP(A158, Cost!A:I, 9, FALSE)</f>
        <v>428</v>
      </c>
      <c r="J158">
        <f t="shared" si="10"/>
        <v>8</v>
      </c>
      <c r="K158">
        <f t="shared" si="11"/>
        <v>1.8691588785046727</v>
      </c>
      <c r="L158" t="str">
        <f t="shared" si="12"/>
        <v>Q42019-20</v>
      </c>
      <c r="M158">
        <f t="shared" si="13"/>
        <v>615</v>
      </c>
      <c r="N158">
        <f t="shared" si="14"/>
        <v>2447704</v>
      </c>
    </row>
    <row r="159" spans="1:14" x14ac:dyDescent="0.35">
      <c r="A159" t="s">
        <v>35</v>
      </c>
      <c r="B159" t="s">
        <v>34</v>
      </c>
      <c r="C159" t="s">
        <v>10</v>
      </c>
      <c r="D159" t="s">
        <v>11</v>
      </c>
      <c r="E159" t="s">
        <v>27</v>
      </c>
      <c r="F159">
        <v>5332</v>
      </c>
      <c r="G159">
        <v>4861</v>
      </c>
      <c r="H159">
        <v>529</v>
      </c>
      <c r="I159">
        <f>VLOOKUP(A159, Cost!A:I, 9, FALSE)</f>
        <v>428</v>
      </c>
      <c r="J159">
        <f t="shared" si="10"/>
        <v>101</v>
      </c>
      <c r="K159">
        <f t="shared" si="11"/>
        <v>23.598130841121495</v>
      </c>
      <c r="L159" t="str">
        <f t="shared" si="12"/>
        <v>Q12020-21</v>
      </c>
      <c r="M159">
        <f t="shared" si="13"/>
        <v>471</v>
      </c>
      <c r="N159">
        <f t="shared" si="14"/>
        <v>2571469</v>
      </c>
    </row>
    <row r="160" spans="1:14" x14ac:dyDescent="0.35">
      <c r="A160" t="s">
        <v>35</v>
      </c>
      <c r="B160" t="s">
        <v>34</v>
      </c>
      <c r="C160" t="s">
        <v>13</v>
      </c>
      <c r="D160" t="s">
        <v>11</v>
      </c>
      <c r="E160" t="s">
        <v>27</v>
      </c>
      <c r="F160">
        <v>5968</v>
      </c>
      <c r="G160">
        <v>5868</v>
      </c>
      <c r="H160">
        <v>469</v>
      </c>
      <c r="I160">
        <f>VLOOKUP(A160, Cost!A:I, 9, FALSE)</f>
        <v>428</v>
      </c>
      <c r="J160">
        <f t="shared" si="10"/>
        <v>41</v>
      </c>
      <c r="K160">
        <f t="shared" si="11"/>
        <v>9.5794392523364476</v>
      </c>
      <c r="L160" t="str">
        <f t="shared" si="12"/>
        <v>Q12020-21</v>
      </c>
      <c r="M160">
        <f t="shared" si="13"/>
        <v>100</v>
      </c>
      <c r="N160">
        <f t="shared" si="14"/>
        <v>2752092</v>
      </c>
    </row>
    <row r="161" spans="1:14" x14ac:dyDescent="0.35">
      <c r="A161" t="s">
        <v>35</v>
      </c>
      <c r="B161" t="s">
        <v>34</v>
      </c>
      <c r="C161" t="s">
        <v>14</v>
      </c>
      <c r="D161" t="s">
        <v>11</v>
      </c>
      <c r="E161" t="s">
        <v>27</v>
      </c>
      <c r="F161">
        <v>6761</v>
      </c>
      <c r="G161">
        <v>5757</v>
      </c>
      <c r="H161">
        <v>367</v>
      </c>
      <c r="I161">
        <f>VLOOKUP(A161, Cost!A:I, 9, FALSE)</f>
        <v>428</v>
      </c>
      <c r="J161">
        <f t="shared" si="10"/>
        <v>-61</v>
      </c>
      <c r="K161">
        <f t="shared" si="11"/>
        <v>-14.252336448598129</v>
      </c>
      <c r="L161" t="str">
        <f t="shared" si="12"/>
        <v>Q12020-21</v>
      </c>
      <c r="M161">
        <f t="shared" si="13"/>
        <v>1004</v>
      </c>
      <c r="N161">
        <f t="shared" si="14"/>
        <v>2112819</v>
      </c>
    </row>
    <row r="162" spans="1:14" x14ac:dyDescent="0.35">
      <c r="A162" t="s">
        <v>35</v>
      </c>
      <c r="B162" t="s">
        <v>34</v>
      </c>
      <c r="C162" t="s">
        <v>15</v>
      </c>
      <c r="D162" t="s">
        <v>16</v>
      </c>
      <c r="E162" t="s">
        <v>27</v>
      </c>
      <c r="F162">
        <v>6566</v>
      </c>
      <c r="G162">
        <v>6325</v>
      </c>
      <c r="H162">
        <v>566</v>
      </c>
      <c r="I162">
        <f>VLOOKUP(A162, Cost!A:I, 9, FALSE)</f>
        <v>428</v>
      </c>
      <c r="J162">
        <f t="shared" si="10"/>
        <v>138</v>
      </c>
      <c r="K162">
        <f t="shared" si="11"/>
        <v>32.242990654205606</v>
      </c>
      <c r="L162" t="str">
        <f t="shared" si="12"/>
        <v>Q22020-21</v>
      </c>
      <c r="M162">
        <f t="shared" si="13"/>
        <v>241</v>
      </c>
      <c r="N162">
        <f t="shared" si="14"/>
        <v>3579950</v>
      </c>
    </row>
    <row r="163" spans="1:14" x14ac:dyDescent="0.35">
      <c r="A163" t="s">
        <v>35</v>
      </c>
      <c r="B163" t="s">
        <v>34</v>
      </c>
      <c r="C163" t="s">
        <v>17</v>
      </c>
      <c r="D163" t="s">
        <v>16</v>
      </c>
      <c r="E163" t="s">
        <v>27</v>
      </c>
      <c r="F163">
        <v>6080</v>
      </c>
      <c r="G163">
        <v>5586</v>
      </c>
      <c r="H163">
        <v>502</v>
      </c>
      <c r="I163">
        <f>VLOOKUP(A163, Cost!A:I, 9, FALSE)</f>
        <v>428</v>
      </c>
      <c r="J163">
        <f t="shared" si="10"/>
        <v>74</v>
      </c>
      <c r="K163">
        <f t="shared" si="11"/>
        <v>17.289719626168225</v>
      </c>
      <c r="L163" t="str">
        <f t="shared" si="12"/>
        <v>Q22020-21</v>
      </c>
      <c r="M163">
        <f t="shared" si="13"/>
        <v>494</v>
      </c>
      <c r="N163">
        <f t="shared" si="14"/>
        <v>2804172</v>
      </c>
    </row>
    <row r="164" spans="1:14" x14ac:dyDescent="0.35">
      <c r="A164" t="s">
        <v>35</v>
      </c>
      <c r="B164" t="s">
        <v>34</v>
      </c>
      <c r="C164" t="s">
        <v>18</v>
      </c>
      <c r="D164" t="s">
        <v>16</v>
      </c>
      <c r="E164" t="s">
        <v>27</v>
      </c>
      <c r="F164">
        <v>5448</v>
      </c>
      <c r="G164">
        <v>5004</v>
      </c>
      <c r="H164">
        <v>360</v>
      </c>
      <c r="I164">
        <f>VLOOKUP(A164, Cost!A:I, 9, FALSE)</f>
        <v>428</v>
      </c>
      <c r="J164">
        <f t="shared" si="10"/>
        <v>-68</v>
      </c>
      <c r="K164">
        <f t="shared" si="11"/>
        <v>-15.887850467289718</v>
      </c>
      <c r="L164" t="str">
        <f t="shared" si="12"/>
        <v>Q22020-21</v>
      </c>
      <c r="M164">
        <f t="shared" si="13"/>
        <v>444</v>
      </c>
      <c r="N164">
        <f t="shared" si="14"/>
        <v>1801440</v>
      </c>
    </row>
    <row r="165" spans="1:14" x14ac:dyDescent="0.35">
      <c r="A165" t="s">
        <v>35</v>
      </c>
      <c r="B165" t="s">
        <v>34</v>
      </c>
      <c r="C165" t="s">
        <v>19</v>
      </c>
      <c r="D165" t="s">
        <v>20</v>
      </c>
      <c r="E165" t="s">
        <v>27</v>
      </c>
      <c r="F165">
        <v>6410</v>
      </c>
      <c r="G165">
        <v>6070</v>
      </c>
      <c r="H165">
        <v>492</v>
      </c>
      <c r="I165">
        <f>VLOOKUP(A165, Cost!A:I, 9, FALSE)</f>
        <v>428</v>
      </c>
      <c r="J165">
        <f t="shared" si="10"/>
        <v>64</v>
      </c>
      <c r="K165">
        <f t="shared" si="11"/>
        <v>14.953271028037381</v>
      </c>
      <c r="L165" t="str">
        <f t="shared" si="12"/>
        <v>Q32020-21</v>
      </c>
      <c r="M165">
        <f t="shared" si="13"/>
        <v>340</v>
      </c>
      <c r="N165">
        <f t="shared" si="14"/>
        <v>2986440</v>
      </c>
    </row>
    <row r="166" spans="1:14" x14ac:dyDescent="0.35">
      <c r="A166" t="s">
        <v>35</v>
      </c>
      <c r="B166" t="s">
        <v>34</v>
      </c>
      <c r="C166" t="s">
        <v>21</v>
      </c>
      <c r="D166" t="s">
        <v>20</v>
      </c>
      <c r="E166" t="s">
        <v>27</v>
      </c>
      <c r="F166">
        <v>5630</v>
      </c>
      <c r="G166">
        <v>4835</v>
      </c>
      <c r="H166">
        <v>408</v>
      </c>
      <c r="I166">
        <f>VLOOKUP(A166, Cost!A:I, 9, FALSE)</f>
        <v>428</v>
      </c>
      <c r="J166">
        <f t="shared" si="10"/>
        <v>-20</v>
      </c>
      <c r="K166">
        <f t="shared" si="11"/>
        <v>-4.6728971962616823</v>
      </c>
      <c r="L166" t="str">
        <f t="shared" si="12"/>
        <v>Q32020-21</v>
      </c>
      <c r="M166">
        <f t="shared" si="13"/>
        <v>795</v>
      </c>
      <c r="N166">
        <f t="shared" si="14"/>
        <v>1972680</v>
      </c>
    </row>
    <row r="167" spans="1:14" x14ac:dyDescent="0.35">
      <c r="A167" t="s">
        <v>35</v>
      </c>
      <c r="B167" t="s">
        <v>34</v>
      </c>
      <c r="C167" t="s">
        <v>22</v>
      </c>
      <c r="D167" t="s">
        <v>20</v>
      </c>
      <c r="E167" t="s">
        <v>27</v>
      </c>
      <c r="F167">
        <v>6832</v>
      </c>
      <c r="G167">
        <v>6666</v>
      </c>
      <c r="H167">
        <v>531</v>
      </c>
      <c r="I167">
        <f>VLOOKUP(A167, Cost!A:I, 9, FALSE)</f>
        <v>428</v>
      </c>
      <c r="J167">
        <f t="shared" si="10"/>
        <v>103</v>
      </c>
      <c r="K167">
        <f t="shared" si="11"/>
        <v>24.065420560747665</v>
      </c>
      <c r="L167" t="str">
        <f t="shared" si="12"/>
        <v>Q32020-21</v>
      </c>
      <c r="M167">
        <f t="shared" si="13"/>
        <v>166</v>
      </c>
      <c r="N167">
        <f t="shared" si="14"/>
        <v>3539646</v>
      </c>
    </row>
    <row r="168" spans="1:14" x14ac:dyDescent="0.35">
      <c r="A168" t="s">
        <v>35</v>
      </c>
      <c r="B168" t="s">
        <v>34</v>
      </c>
      <c r="C168" t="s">
        <v>23</v>
      </c>
      <c r="D168" t="s">
        <v>24</v>
      </c>
      <c r="E168" t="s">
        <v>27</v>
      </c>
      <c r="F168">
        <v>6440</v>
      </c>
      <c r="G168">
        <v>5630</v>
      </c>
      <c r="H168">
        <v>441</v>
      </c>
      <c r="I168">
        <f>VLOOKUP(A168, Cost!A:I, 9, FALSE)</f>
        <v>428</v>
      </c>
      <c r="J168">
        <f t="shared" si="10"/>
        <v>13</v>
      </c>
      <c r="K168">
        <f t="shared" si="11"/>
        <v>3.0373831775700935</v>
      </c>
      <c r="L168" t="str">
        <f t="shared" si="12"/>
        <v>Q42020-21</v>
      </c>
      <c r="M168">
        <f t="shared" si="13"/>
        <v>810</v>
      </c>
      <c r="N168">
        <f t="shared" si="14"/>
        <v>2482830</v>
      </c>
    </row>
    <row r="169" spans="1:14" x14ac:dyDescent="0.35">
      <c r="A169" t="s">
        <v>35</v>
      </c>
      <c r="B169" t="s">
        <v>34</v>
      </c>
      <c r="C169" t="s">
        <v>25</v>
      </c>
      <c r="D169" t="s">
        <v>24</v>
      </c>
      <c r="E169" t="s">
        <v>27</v>
      </c>
      <c r="F169">
        <v>5367</v>
      </c>
      <c r="G169">
        <v>4985</v>
      </c>
      <c r="H169">
        <v>374</v>
      </c>
      <c r="I169">
        <f>VLOOKUP(A169, Cost!A:I, 9, FALSE)</f>
        <v>428</v>
      </c>
      <c r="J169">
        <f t="shared" si="10"/>
        <v>-54</v>
      </c>
      <c r="K169">
        <f t="shared" si="11"/>
        <v>-12.616822429906541</v>
      </c>
      <c r="L169" t="str">
        <f t="shared" si="12"/>
        <v>Q42020-21</v>
      </c>
      <c r="M169">
        <f t="shared" si="13"/>
        <v>382</v>
      </c>
      <c r="N169">
        <f t="shared" si="14"/>
        <v>1864390</v>
      </c>
    </row>
    <row r="170" spans="1:14" x14ac:dyDescent="0.35">
      <c r="A170" t="s">
        <v>35</v>
      </c>
      <c r="B170" t="s">
        <v>34</v>
      </c>
      <c r="C170" t="s">
        <v>26</v>
      </c>
      <c r="D170" t="s">
        <v>24</v>
      </c>
      <c r="E170" t="s">
        <v>27</v>
      </c>
      <c r="F170">
        <v>5865</v>
      </c>
      <c r="G170">
        <v>5653</v>
      </c>
      <c r="H170">
        <v>341</v>
      </c>
      <c r="I170">
        <f>VLOOKUP(A170, Cost!A:I, 9, FALSE)</f>
        <v>428</v>
      </c>
      <c r="J170">
        <f t="shared" si="10"/>
        <v>-87</v>
      </c>
      <c r="K170">
        <f t="shared" si="11"/>
        <v>-20.327102803738317</v>
      </c>
      <c r="L170" t="str">
        <f t="shared" si="12"/>
        <v>Q42020-21</v>
      </c>
      <c r="M170">
        <f t="shared" si="13"/>
        <v>212</v>
      </c>
      <c r="N170">
        <f t="shared" si="14"/>
        <v>1927673</v>
      </c>
    </row>
    <row r="171" spans="1:14" x14ac:dyDescent="0.35">
      <c r="A171" t="s">
        <v>35</v>
      </c>
      <c r="B171" t="s">
        <v>34</v>
      </c>
      <c r="C171" t="s">
        <v>10</v>
      </c>
      <c r="D171" t="s">
        <v>11</v>
      </c>
      <c r="E171" t="s">
        <v>28</v>
      </c>
      <c r="F171">
        <v>6737</v>
      </c>
      <c r="G171">
        <v>6427</v>
      </c>
      <c r="H171">
        <v>550</v>
      </c>
      <c r="I171">
        <f>VLOOKUP(A171, Cost!A:I, 9, FALSE)</f>
        <v>428</v>
      </c>
      <c r="J171">
        <f t="shared" si="10"/>
        <v>122</v>
      </c>
      <c r="K171">
        <f t="shared" si="11"/>
        <v>28.504672897196258</v>
      </c>
      <c r="L171" t="str">
        <f t="shared" si="12"/>
        <v>Q12021-22</v>
      </c>
      <c r="M171">
        <f t="shared" si="13"/>
        <v>310</v>
      </c>
      <c r="N171">
        <f t="shared" si="14"/>
        <v>3534850</v>
      </c>
    </row>
    <row r="172" spans="1:14" x14ac:dyDescent="0.35">
      <c r="A172" t="s">
        <v>35</v>
      </c>
      <c r="B172" t="s">
        <v>34</v>
      </c>
      <c r="C172" t="s">
        <v>13</v>
      </c>
      <c r="D172" t="s">
        <v>11</v>
      </c>
      <c r="E172" t="s">
        <v>28</v>
      </c>
      <c r="F172">
        <v>5816</v>
      </c>
      <c r="G172">
        <v>5239</v>
      </c>
      <c r="H172">
        <v>540</v>
      </c>
      <c r="I172">
        <f>VLOOKUP(A172, Cost!A:I, 9, FALSE)</f>
        <v>428</v>
      </c>
      <c r="J172">
        <f t="shared" si="10"/>
        <v>112</v>
      </c>
      <c r="K172">
        <f t="shared" si="11"/>
        <v>26.168224299065418</v>
      </c>
      <c r="L172" t="str">
        <f t="shared" si="12"/>
        <v>Q12021-22</v>
      </c>
      <c r="M172">
        <f t="shared" si="13"/>
        <v>577</v>
      </c>
      <c r="N172">
        <f t="shared" si="14"/>
        <v>2829060</v>
      </c>
    </row>
    <row r="173" spans="1:14" x14ac:dyDescent="0.35">
      <c r="A173" t="s">
        <v>35</v>
      </c>
      <c r="B173" t="s">
        <v>34</v>
      </c>
      <c r="C173" t="s">
        <v>14</v>
      </c>
      <c r="D173" t="s">
        <v>11</v>
      </c>
      <c r="E173" t="s">
        <v>28</v>
      </c>
      <c r="F173">
        <v>5353</v>
      </c>
      <c r="G173">
        <v>4921</v>
      </c>
      <c r="H173">
        <v>555</v>
      </c>
      <c r="I173">
        <f>VLOOKUP(A173, Cost!A:I, 9, FALSE)</f>
        <v>428</v>
      </c>
      <c r="J173">
        <f t="shared" si="10"/>
        <v>127</v>
      </c>
      <c r="K173">
        <f t="shared" si="11"/>
        <v>29.672897196261683</v>
      </c>
      <c r="L173" t="str">
        <f t="shared" si="12"/>
        <v>Q12021-22</v>
      </c>
      <c r="M173">
        <f t="shared" si="13"/>
        <v>432</v>
      </c>
      <c r="N173">
        <f t="shared" si="14"/>
        <v>2731155</v>
      </c>
    </row>
    <row r="174" spans="1:14" x14ac:dyDescent="0.35">
      <c r="A174" t="s">
        <v>35</v>
      </c>
      <c r="B174" t="s">
        <v>34</v>
      </c>
      <c r="C174" t="s">
        <v>15</v>
      </c>
      <c r="D174" t="s">
        <v>16</v>
      </c>
      <c r="E174" t="s">
        <v>28</v>
      </c>
      <c r="F174">
        <v>6048</v>
      </c>
      <c r="G174">
        <v>5616</v>
      </c>
      <c r="H174">
        <v>390</v>
      </c>
      <c r="I174">
        <f>VLOOKUP(A174, Cost!A:I, 9, FALSE)</f>
        <v>428</v>
      </c>
      <c r="J174">
        <f t="shared" si="10"/>
        <v>-38</v>
      </c>
      <c r="K174">
        <f t="shared" si="11"/>
        <v>-8.8785046728971952</v>
      </c>
      <c r="L174" t="str">
        <f t="shared" si="12"/>
        <v>Q22021-22</v>
      </c>
      <c r="M174">
        <f t="shared" si="13"/>
        <v>432</v>
      </c>
      <c r="N174">
        <f t="shared" si="14"/>
        <v>2190240</v>
      </c>
    </row>
    <row r="175" spans="1:14" x14ac:dyDescent="0.35">
      <c r="A175" t="s">
        <v>35</v>
      </c>
      <c r="B175" t="s">
        <v>34</v>
      </c>
      <c r="C175" t="s">
        <v>17</v>
      </c>
      <c r="D175" t="s">
        <v>16</v>
      </c>
      <c r="E175" t="s">
        <v>28</v>
      </c>
      <c r="F175">
        <v>6145</v>
      </c>
      <c r="G175">
        <v>5647</v>
      </c>
      <c r="H175">
        <v>489</v>
      </c>
      <c r="I175">
        <f>VLOOKUP(A175, Cost!A:I, 9, FALSE)</f>
        <v>428</v>
      </c>
      <c r="J175">
        <f t="shared" si="10"/>
        <v>61</v>
      </c>
      <c r="K175">
        <f t="shared" si="11"/>
        <v>14.252336448598129</v>
      </c>
      <c r="L175" t="str">
        <f t="shared" si="12"/>
        <v>Q22021-22</v>
      </c>
      <c r="M175">
        <f t="shared" si="13"/>
        <v>498</v>
      </c>
      <c r="N175">
        <f t="shared" si="14"/>
        <v>2761383</v>
      </c>
    </row>
  </sheetData>
  <autoFilter ref="A1:H175" xr:uid="{00000000-0001-0000-0000-000000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"/>
  <sheetViews>
    <sheetView workbookViewId="0">
      <selection activeCell="I7" sqref="I7"/>
    </sheetView>
  </sheetViews>
  <sheetFormatPr defaultRowHeight="14.5" x14ac:dyDescent="0.35"/>
  <cols>
    <col min="1" max="1" width="30.08984375" bestFit="1" customWidth="1"/>
    <col min="2" max="2" width="7.453125" bestFit="1" customWidth="1"/>
    <col min="3" max="3" width="28.1796875" bestFit="1" customWidth="1"/>
    <col min="4" max="4" width="14.08984375" bestFit="1" customWidth="1"/>
    <col min="5" max="5" width="12" bestFit="1" customWidth="1"/>
    <col min="6" max="6" width="18.7265625" bestFit="1" customWidth="1"/>
    <col min="7" max="7" width="13.36328125" bestFit="1" customWidth="1"/>
    <col min="8" max="8" width="12.08984375" bestFit="1" customWidth="1"/>
    <col min="9" max="9" width="21.90625" bestFit="1" customWidth="1"/>
  </cols>
  <sheetData>
    <row r="1" spans="1:9" x14ac:dyDescent="0.3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62</v>
      </c>
    </row>
    <row r="2" spans="1:9" x14ac:dyDescent="0.35">
      <c r="A2" t="s">
        <v>8</v>
      </c>
      <c r="B2" t="s">
        <v>12</v>
      </c>
      <c r="C2" t="str">
        <f t="shared" ref="C2:C19" si="0">CONCATENATE(A2,B2)</f>
        <v>Gear Assembly 1 (BS4)2019-20</v>
      </c>
      <c r="D2">
        <v>165</v>
      </c>
      <c r="E2">
        <v>48</v>
      </c>
      <c r="F2">
        <v>108</v>
      </c>
      <c r="G2">
        <v>48</v>
      </c>
      <c r="H2">
        <v>31</v>
      </c>
      <c r="I2">
        <f>D2+E2+F2+G2+H2</f>
        <v>400</v>
      </c>
    </row>
    <row r="3" spans="1:9" x14ac:dyDescent="0.35">
      <c r="A3" t="s">
        <v>29</v>
      </c>
      <c r="B3" t="s">
        <v>12</v>
      </c>
      <c r="C3" t="str">
        <f t="shared" si="0"/>
        <v>Gear Assembly 2 (BS4)2019-20</v>
      </c>
      <c r="D3">
        <v>132</v>
      </c>
      <c r="E3">
        <v>51</v>
      </c>
      <c r="F3">
        <v>75</v>
      </c>
      <c r="G3">
        <v>49</v>
      </c>
      <c r="H3">
        <v>27</v>
      </c>
      <c r="I3">
        <f t="shared" ref="I3:I19" si="1">D3+E3+F3+G3+H3</f>
        <v>334</v>
      </c>
    </row>
    <row r="4" spans="1:9" x14ac:dyDescent="0.35">
      <c r="A4" t="s">
        <v>30</v>
      </c>
      <c r="B4" t="s">
        <v>12</v>
      </c>
      <c r="C4" t="str">
        <f t="shared" si="0"/>
        <v>Gear Assembly 3 (BS4/6)2019-20</v>
      </c>
      <c r="D4">
        <v>189</v>
      </c>
      <c r="E4">
        <v>65</v>
      </c>
      <c r="F4">
        <v>120</v>
      </c>
      <c r="G4">
        <v>49</v>
      </c>
      <c r="H4">
        <v>32</v>
      </c>
      <c r="I4">
        <f t="shared" si="1"/>
        <v>455</v>
      </c>
    </row>
    <row r="5" spans="1:9" x14ac:dyDescent="0.35">
      <c r="A5" t="s">
        <v>32</v>
      </c>
      <c r="B5" t="s">
        <v>12</v>
      </c>
      <c r="C5" t="str">
        <f t="shared" si="0"/>
        <v>Gear Assembly 4 (BS4/6)2019-20</v>
      </c>
      <c r="D5">
        <v>141</v>
      </c>
      <c r="E5">
        <v>49</v>
      </c>
      <c r="F5">
        <v>112</v>
      </c>
      <c r="G5">
        <v>45</v>
      </c>
      <c r="H5">
        <v>32</v>
      </c>
      <c r="I5">
        <f t="shared" si="1"/>
        <v>379</v>
      </c>
    </row>
    <row r="6" spans="1:9" x14ac:dyDescent="0.35">
      <c r="A6" t="s">
        <v>33</v>
      </c>
      <c r="B6" t="s">
        <v>12</v>
      </c>
      <c r="C6" t="str">
        <f t="shared" si="0"/>
        <v>Gear Assembly 5 (BS6)2019-20</v>
      </c>
      <c r="D6">
        <v>139</v>
      </c>
      <c r="E6">
        <v>51</v>
      </c>
      <c r="F6">
        <v>70</v>
      </c>
      <c r="G6">
        <v>46</v>
      </c>
      <c r="H6">
        <v>26</v>
      </c>
      <c r="I6">
        <f t="shared" si="1"/>
        <v>332</v>
      </c>
    </row>
    <row r="7" spans="1:9" x14ac:dyDescent="0.35">
      <c r="A7" t="s">
        <v>35</v>
      </c>
      <c r="B7" t="s">
        <v>12</v>
      </c>
      <c r="C7" t="str">
        <f t="shared" si="0"/>
        <v>Gear Assembly 6 (BS6)2019-20</v>
      </c>
      <c r="D7">
        <v>171</v>
      </c>
      <c r="E7">
        <v>69</v>
      </c>
      <c r="F7">
        <v>109</v>
      </c>
      <c r="G7">
        <v>46</v>
      </c>
      <c r="H7">
        <v>33</v>
      </c>
      <c r="I7">
        <f t="shared" si="1"/>
        <v>428</v>
      </c>
    </row>
    <row r="8" spans="1:9" x14ac:dyDescent="0.35">
      <c r="A8" t="s">
        <v>8</v>
      </c>
      <c r="B8" t="s">
        <v>27</v>
      </c>
      <c r="C8" t="str">
        <f t="shared" si="0"/>
        <v>Gear Assembly 1 (BS4)2020-21</v>
      </c>
      <c r="D8">
        <v>209</v>
      </c>
      <c r="E8">
        <v>52</v>
      </c>
      <c r="F8">
        <v>114</v>
      </c>
      <c r="G8">
        <v>47</v>
      </c>
      <c r="H8">
        <v>30</v>
      </c>
      <c r="I8">
        <f t="shared" si="1"/>
        <v>452</v>
      </c>
    </row>
    <row r="9" spans="1:9" x14ac:dyDescent="0.35">
      <c r="A9" t="s">
        <v>29</v>
      </c>
      <c r="B9" t="s">
        <v>27</v>
      </c>
      <c r="C9" t="str">
        <f t="shared" si="0"/>
        <v>Gear Assembly 2 (BS4)2020-21</v>
      </c>
      <c r="D9">
        <v>178</v>
      </c>
      <c r="E9">
        <v>56</v>
      </c>
      <c r="F9">
        <v>79</v>
      </c>
      <c r="G9">
        <v>46</v>
      </c>
      <c r="H9">
        <v>26</v>
      </c>
      <c r="I9">
        <f t="shared" si="1"/>
        <v>385</v>
      </c>
    </row>
    <row r="10" spans="1:9" x14ac:dyDescent="0.35">
      <c r="A10" t="s">
        <v>30</v>
      </c>
      <c r="B10" t="s">
        <v>27</v>
      </c>
      <c r="C10" t="str">
        <f t="shared" si="0"/>
        <v>Gear Assembly 3 (BS4/6)2020-21</v>
      </c>
      <c r="D10">
        <v>229</v>
      </c>
      <c r="E10">
        <v>78</v>
      </c>
      <c r="F10">
        <v>126</v>
      </c>
      <c r="G10">
        <v>46</v>
      </c>
      <c r="H10">
        <v>31</v>
      </c>
      <c r="I10">
        <f t="shared" si="1"/>
        <v>510</v>
      </c>
    </row>
    <row r="11" spans="1:9" x14ac:dyDescent="0.35">
      <c r="A11" t="s">
        <v>32</v>
      </c>
      <c r="B11" t="s">
        <v>27</v>
      </c>
      <c r="C11" t="str">
        <f t="shared" si="0"/>
        <v>Gear Assembly 4 (BS4/6)2020-21</v>
      </c>
      <c r="D11">
        <v>171</v>
      </c>
      <c r="E11">
        <v>53</v>
      </c>
      <c r="F11">
        <v>106</v>
      </c>
      <c r="G11">
        <v>48</v>
      </c>
      <c r="H11">
        <v>30</v>
      </c>
      <c r="I11">
        <f t="shared" si="1"/>
        <v>408</v>
      </c>
    </row>
    <row r="12" spans="1:9" x14ac:dyDescent="0.35">
      <c r="A12" t="s">
        <v>33</v>
      </c>
      <c r="B12" t="s">
        <v>27</v>
      </c>
      <c r="C12" t="str">
        <f t="shared" si="0"/>
        <v>Gear Assembly 5 (BS6)2020-21</v>
      </c>
      <c r="D12">
        <v>171</v>
      </c>
      <c r="E12">
        <v>57</v>
      </c>
      <c r="F12">
        <v>66</v>
      </c>
      <c r="G12">
        <v>47</v>
      </c>
      <c r="H12">
        <v>26</v>
      </c>
      <c r="I12">
        <f t="shared" si="1"/>
        <v>367</v>
      </c>
    </row>
    <row r="13" spans="1:9" x14ac:dyDescent="0.35">
      <c r="A13" t="s">
        <v>35</v>
      </c>
      <c r="B13" t="s">
        <v>27</v>
      </c>
      <c r="C13" t="str">
        <f t="shared" si="0"/>
        <v>Gear Assembly 6 (BS6)2020-21</v>
      </c>
      <c r="D13">
        <v>204</v>
      </c>
      <c r="E13">
        <v>74</v>
      </c>
      <c r="F13">
        <v>108</v>
      </c>
      <c r="G13">
        <v>45</v>
      </c>
      <c r="H13">
        <v>31</v>
      </c>
      <c r="I13">
        <f t="shared" si="1"/>
        <v>462</v>
      </c>
    </row>
    <row r="14" spans="1:9" x14ac:dyDescent="0.35">
      <c r="A14" t="s">
        <v>8</v>
      </c>
      <c r="B14" t="s">
        <v>28</v>
      </c>
      <c r="C14" t="str">
        <f t="shared" si="0"/>
        <v>Gear Assembly 1 (BS4)2021-22</v>
      </c>
      <c r="D14">
        <v>193</v>
      </c>
      <c r="E14">
        <v>55</v>
      </c>
      <c r="F14">
        <v>134</v>
      </c>
      <c r="G14">
        <v>56</v>
      </c>
      <c r="H14">
        <v>34</v>
      </c>
      <c r="I14">
        <f t="shared" si="1"/>
        <v>472</v>
      </c>
    </row>
    <row r="15" spans="1:9" x14ac:dyDescent="0.35">
      <c r="A15" t="s">
        <v>29</v>
      </c>
      <c r="B15" t="s">
        <v>28</v>
      </c>
      <c r="C15" t="str">
        <f t="shared" si="0"/>
        <v>Gear Assembly 2 (BS4)2021-22</v>
      </c>
      <c r="D15">
        <v>171</v>
      </c>
      <c r="E15">
        <v>58</v>
      </c>
      <c r="F15">
        <v>98</v>
      </c>
      <c r="G15">
        <v>55</v>
      </c>
      <c r="H15">
        <v>27</v>
      </c>
      <c r="I15">
        <f t="shared" si="1"/>
        <v>409</v>
      </c>
    </row>
    <row r="16" spans="1:9" x14ac:dyDescent="0.35">
      <c r="A16" t="s">
        <v>30</v>
      </c>
      <c r="B16" t="s">
        <v>28</v>
      </c>
      <c r="C16" t="str">
        <f t="shared" si="0"/>
        <v>Gear Assembly 3 (BS4/6)2021-22</v>
      </c>
      <c r="D16">
        <v>233</v>
      </c>
      <c r="E16">
        <v>75</v>
      </c>
      <c r="F16">
        <v>140</v>
      </c>
      <c r="G16">
        <v>51</v>
      </c>
      <c r="H16">
        <v>35</v>
      </c>
      <c r="I16">
        <f t="shared" si="1"/>
        <v>534</v>
      </c>
    </row>
    <row r="17" spans="1:9" x14ac:dyDescent="0.35">
      <c r="A17" t="s">
        <v>32</v>
      </c>
      <c r="B17" t="s">
        <v>28</v>
      </c>
      <c r="C17" t="str">
        <f t="shared" si="0"/>
        <v>Gear Assembly 4 (BS4/6)2021-22</v>
      </c>
      <c r="D17">
        <v>179</v>
      </c>
      <c r="E17">
        <v>52</v>
      </c>
      <c r="F17">
        <v>132</v>
      </c>
      <c r="G17">
        <v>56</v>
      </c>
      <c r="H17">
        <v>35</v>
      </c>
      <c r="I17">
        <f t="shared" si="1"/>
        <v>454</v>
      </c>
    </row>
    <row r="18" spans="1:9" x14ac:dyDescent="0.35">
      <c r="A18" t="s">
        <v>33</v>
      </c>
      <c r="B18" t="s">
        <v>28</v>
      </c>
      <c r="C18" t="str">
        <f t="shared" si="0"/>
        <v>Gear Assembly 5 (BS6)2021-22</v>
      </c>
      <c r="D18">
        <v>176</v>
      </c>
      <c r="E18">
        <v>56</v>
      </c>
      <c r="F18">
        <v>81</v>
      </c>
      <c r="G18">
        <v>55</v>
      </c>
      <c r="H18">
        <v>29</v>
      </c>
      <c r="I18">
        <f t="shared" si="1"/>
        <v>397</v>
      </c>
    </row>
    <row r="19" spans="1:9" x14ac:dyDescent="0.35">
      <c r="A19" t="s">
        <v>35</v>
      </c>
      <c r="B19" t="s">
        <v>28</v>
      </c>
      <c r="C19" t="str">
        <f t="shared" si="0"/>
        <v>Gear Assembly 6 (BS6)2021-22</v>
      </c>
      <c r="D19">
        <v>208</v>
      </c>
      <c r="E19">
        <v>77</v>
      </c>
      <c r="F19">
        <v>138</v>
      </c>
      <c r="G19">
        <v>54</v>
      </c>
      <c r="H19">
        <v>35</v>
      </c>
      <c r="I19">
        <f t="shared" si="1"/>
        <v>512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"/>
  <sheetViews>
    <sheetView workbookViewId="0">
      <selection activeCell="J15" sqref="J15"/>
    </sheetView>
  </sheetViews>
  <sheetFormatPr defaultRowHeight="14.5" x14ac:dyDescent="0.35"/>
  <cols>
    <col min="1" max="1" width="16.7265625" bestFit="1" customWidth="1"/>
    <col min="2" max="2" width="14.26953125" bestFit="1" customWidth="1"/>
    <col min="3" max="3" width="21.6328125" bestFit="1" customWidth="1"/>
  </cols>
  <sheetData>
    <row r="1" spans="1:4" x14ac:dyDescent="0.35">
      <c r="A1" t="s">
        <v>44</v>
      </c>
      <c r="B1" t="s">
        <v>45</v>
      </c>
      <c r="C1" t="s">
        <v>46</v>
      </c>
      <c r="D1" t="s">
        <v>47</v>
      </c>
    </row>
    <row r="2" spans="1:4" x14ac:dyDescent="0.35">
      <c r="A2" s="1">
        <v>44652</v>
      </c>
      <c r="B2" t="s">
        <v>48</v>
      </c>
      <c r="C2" t="s">
        <v>48</v>
      </c>
      <c r="D2" t="s">
        <v>48</v>
      </c>
    </row>
    <row r="3" spans="1:4" x14ac:dyDescent="0.35">
      <c r="A3" s="1">
        <v>44653</v>
      </c>
      <c r="B3" t="s">
        <v>48</v>
      </c>
      <c r="C3" t="s">
        <v>48</v>
      </c>
      <c r="D3" t="s">
        <v>48</v>
      </c>
    </row>
    <row r="4" spans="1:4" x14ac:dyDescent="0.35">
      <c r="A4" s="1">
        <v>44654</v>
      </c>
      <c r="B4" t="s">
        <v>48</v>
      </c>
      <c r="C4" t="s">
        <v>48</v>
      </c>
      <c r="D4" t="s">
        <v>48</v>
      </c>
    </row>
    <row r="5" spans="1:4" x14ac:dyDescent="0.35">
      <c r="A5" s="1">
        <v>44655</v>
      </c>
      <c r="B5" t="s">
        <v>48</v>
      </c>
      <c r="C5" t="s">
        <v>48</v>
      </c>
      <c r="D5" t="s">
        <v>48</v>
      </c>
    </row>
    <row r="6" spans="1:4" x14ac:dyDescent="0.35">
      <c r="A6" s="1">
        <v>44656</v>
      </c>
      <c r="B6" t="s">
        <v>49</v>
      </c>
      <c r="C6" t="s">
        <v>48</v>
      </c>
      <c r="D6" t="s">
        <v>48</v>
      </c>
    </row>
    <row r="7" spans="1:4" x14ac:dyDescent="0.35">
      <c r="A7" s="1">
        <v>44657</v>
      </c>
      <c r="B7" t="s">
        <v>48</v>
      </c>
      <c r="C7" t="s">
        <v>48</v>
      </c>
      <c r="D7" t="s">
        <v>50</v>
      </c>
    </row>
    <row r="8" spans="1:4" x14ac:dyDescent="0.35">
      <c r="A8" s="1">
        <v>44658</v>
      </c>
      <c r="B8" t="s">
        <v>48</v>
      </c>
      <c r="C8" t="s">
        <v>48</v>
      </c>
      <c r="D8" t="s">
        <v>48</v>
      </c>
    </row>
    <row r="9" spans="1:4" x14ac:dyDescent="0.35">
      <c r="A9" s="1">
        <v>44659</v>
      </c>
      <c r="B9" t="s">
        <v>48</v>
      </c>
      <c r="C9" t="s">
        <v>48</v>
      </c>
      <c r="D9" t="s">
        <v>48</v>
      </c>
    </row>
    <row r="10" spans="1:4" x14ac:dyDescent="0.35">
      <c r="A10" s="1">
        <v>44660</v>
      </c>
      <c r="B10" t="s">
        <v>48</v>
      </c>
      <c r="C10" t="s">
        <v>51</v>
      </c>
      <c r="D10" t="s">
        <v>48</v>
      </c>
    </row>
    <row r="11" spans="1:4" x14ac:dyDescent="0.35">
      <c r="A11" s="1">
        <v>44661</v>
      </c>
      <c r="B11" t="s">
        <v>48</v>
      </c>
      <c r="C11" t="s">
        <v>48</v>
      </c>
      <c r="D11" t="s">
        <v>48</v>
      </c>
    </row>
    <row r="12" spans="1:4" x14ac:dyDescent="0.35">
      <c r="A12" s="1">
        <v>44662</v>
      </c>
      <c r="B12" t="s">
        <v>48</v>
      </c>
      <c r="C12" t="s">
        <v>48</v>
      </c>
      <c r="D12" t="s">
        <v>48</v>
      </c>
    </row>
    <row r="13" spans="1:4" x14ac:dyDescent="0.35">
      <c r="A13" s="1">
        <v>44663</v>
      </c>
      <c r="B13" t="s">
        <v>48</v>
      </c>
      <c r="C13" t="s">
        <v>48</v>
      </c>
      <c r="D13" t="s">
        <v>48</v>
      </c>
    </row>
    <row r="14" spans="1:4" x14ac:dyDescent="0.35">
      <c r="A14" s="1">
        <v>44664</v>
      </c>
      <c r="B14" t="s">
        <v>48</v>
      </c>
      <c r="C14" t="s">
        <v>48</v>
      </c>
      <c r="D14" t="s">
        <v>48</v>
      </c>
    </row>
    <row r="15" spans="1:4" x14ac:dyDescent="0.35">
      <c r="A15" s="1">
        <v>44665</v>
      </c>
      <c r="B15" t="s">
        <v>52</v>
      </c>
      <c r="C15" t="s">
        <v>52</v>
      </c>
      <c r="D15" t="s">
        <v>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"/>
  <sheetViews>
    <sheetView workbookViewId="0">
      <selection activeCell="I5" sqref="I5"/>
    </sheetView>
  </sheetViews>
  <sheetFormatPr defaultRowHeight="14.5" x14ac:dyDescent="0.35"/>
  <cols>
    <col min="1" max="1" width="16.7265625" bestFit="1" customWidth="1"/>
  </cols>
  <sheetData>
    <row r="1" spans="1:5" x14ac:dyDescent="0.35">
      <c r="A1" t="s">
        <v>44</v>
      </c>
      <c r="B1" t="s">
        <v>53</v>
      </c>
      <c r="C1" t="s">
        <v>54</v>
      </c>
      <c r="D1" t="s">
        <v>55</v>
      </c>
      <c r="E1" t="s">
        <v>83</v>
      </c>
    </row>
    <row r="2" spans="1:5" x14ac:dyDescent="0.35">
      <c r="A2" s="1">
        <v>44652</v>
      </c>
      <c r="B2">
        <v>3973</v>
      </c>
      <c r="C2">
        <v>4035</v>
      </c>
      <c r="D2">
        <v>4200</v>
      </c>
      <c r="E2">
        <f>B2+C2+D2</f>
        <v>12208</v>
      </c>
    </row>
    <row r="3" spans="1:5" x14ac:dyDescent="0.35">
      <c r="A3" s="1">
        <v>44653</v>
      </c>
      <c r="B3">
        <v>3922</v>
      </c>
      <c r="C3">
        <v>3981</v>
      </c>
      <c r="D3">
        <v>4175</v>
      </c>
      <c r="E3">
        <f t="shared" ref="E3:F15" si="0">B3+C3+D3</f>
        <v>12078</v>
      </c>
    </row>
    <row r="4" spans="1:5" x14ac:dyDescent="0.35">
      <c r="A4" s="1">
        <v>44654</v>
      </c>
      <c r="B4">
        <v>4043</v>
      </c>
      <c r="C4">
        <v>4200</v>
      </c>
      <c r="D4">
        <v>4189</v>
      </c>
      <c r="E4">
        <f t="shared" si="0"/>
        <v>12432</v>
      </c>
    </row>
    <row r="5" spans="1:5" x14ac:dyDescent="0.35">
      <c r="A5" s="1">
        <v>44655</v>
      </c>
      <c r="B5">
        <v>4022</v>
      </c>
      <c r="C5">
        <v>4090</v>
      </c>
      <c r="D5">
        <v>4361</v>
      </c>
      <c r="E5">
        <f t="shared" si="0"/>
        <v>12473</v>
      </c>
    </row>
    <row r="6" spans="1:5" x14ac:dyDescent="0.35">
      <c r="A6" s="1">
        <v>44656</v>
      </c>
      <c r="B6">
        <v>0</v>
      </c>
      <c r="C6">
        <v>4143</v>
      </c>
      <c r="D6">
        <v>4536</v>
      </c>
      <c r="E6">
        <f t="shared" si="0"/>
        <v>8679</v>
      </c>
    </row>
    <row r="7" spans="1:5" x14ac:dyDescent="0.35">
      <c r="A7" s="1">
        <v>44657</v>
      </c>
      <c r="B7">
        <v>4400</v>
      </c>
      <c r="C7">
        <v>4280</v>
      </c>
      <c r="D7">
        <v>0</v>
      </c>
      <c r="E7">
        <f t="shared" si="0"/>
        <v>8680</v>
      </c>
    </row>
    <row r="8" spans="1:5" x14ac:dyDescent="0.35">
      <c r="A8" s="1">
        <v>44658</v>
      </c>
      <c r="B8">
        <v>4346</v>
      </c>
      <c r="C8">
        <v>4033</v>
      </c>
      <c r="D8">
        <v>4464</v>
      </c>
      <c r="E8">
        <f t="shared" si="0"/>
        <v>12843</v>
      </c>
    </row>
    <row r="9" spans="1:5" x14ac:dyDescent="0.35">
      <c r="A9" s="1">
        <v>44659</v>
      </c>
      <c r="B9">
        <v>3882</v>
      </c>
      <c r="C9">
        <v>4274</v>
      </c>
      <c r="D9">
        <v>4448</v>
      </c>
      <c r="E9">
        <f t="shared" si="0"/>
        <v>12604</v>
      </c>
    </row>
    <row r="10" spans="1:5" x14ac:dyDescent="0.35">
      <c r="A10" s="1">
        <v>44660</v>
      </c>
      <c r="B10">
        <v>4336</v>
      </c>
      <c r="C10">
        <v>0</v>
      </c>
      <c r="D10">
        <v>4540</v>
      </c>
      <c r="E10">
        <f t="shared" si="0"/>
        <v>8876</v>
      </c>
    </row>
    <row r="11" spans="1:5" x14ac:dyDescent="0.35">
      <c r="A11" s="1">
        <v>44661</v>
      </c>
      <c r="B11">
        <v>4069</v>
      </c>
      <c r="C11">
        <v>4038</v>
      </c>
      <c r="D11">
        <v>4033</v>
      </c>
      <c r="E11">
        <f t="shared" si="0"/>
        <v>12140</v>
      </c>
    </row>
    <row r="12" spans="1:5" x14ac:dyDescent="0.35">
      <c r="A12" s="1">
        <v>44662</v>
      </c>
      <c r="B12">
        <v>4194</v>
      </c>
      <c r="C12">
        <v>4066</v>
      </c>
      <c r="D12">
        <v>4577</v>
      </c>
      <c r="E12">
        <f t="shared" si="0"/>
        <v>12837</v>
      </c>
    </row>
    <row r="13" spans="1:5" x14ac:dyDescent="0.35">
      <c r="A13" s="1">
        <v>44663</v>
      </c>
      <c r="B13">
        <v>4360</v>
      </c>
      <c r="C13">
        <v>4272</v>
      </c>
      <c r="D13">
        <v>4169</v>
      </c>
      <c r="E13">
        <f t="shared" si="0"/>
        <v>12801</v>
      </c>
    </row>
    <row r="14" spans="1:5" x14ac:dyDescent="0.35">
      <c r="A14" s="1">
        <v>44664</v>
      </c>
      <c r="B14">
        <v>4180</v>
      </c>
      <c r="C14">
        <v>4354</v>
      </c>
      <c r="D14">
        <v>3867</v>
      </c>
      <c r="E14">
        <f t="shared" si="0"/>
        <v>12401</v>
      </c>
    </row>
    <row r="15" spans="1:5" x14ac:dyDescent="0.35">
      <c r="A15" s="1">
        <v>44665</v>
      </c>
      <c r="B15">
        <v>0</v>
      </c>
      <c r="C15">
        <v>0</v>
      </c>
      <c r="D15">
        <v>0</v>
      </c>
      <c r="E15">
        <f t="shared" si="0"/>
        <v>0</v>
      </c>
    </row>
    <row r="16" spans="1:5" x14ac:dyDescent="0.35">
      <c r="D16" t="s">
        <v>85</v>
      </c>
      <c r="E16">
        <f>SUM(E2:E15)</f>
        <v>151052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6"/>
  <sheetViews>
    <sheetView tabSelected="1" workbookViewId="0">
      <selection activeCell="E17" sqref="E17"/>
    </sheetView>
  </sheetViews>
  <sheetFormatPr defaultRowHeight="14.5" x14ac:dyDescent="0.35"/>
  <cols>
    <col min="1" max="1" width="16.7265625" bestFit="1" customWidth="1"/>
  </cols>
  <sheetData>
    <row r="1" spans="1:5" x14ac:dyDescent="0.35">
      <c r="A1" t="s">
        <v>44</v>
      </c>
      <c r="B1" t="s">
        <v>53</v>
      </c>
      <c r="C1" t="s">
        <v>54</v>
      </c>
      <c r="D1" t="s">
        <v>55</v>
      </c>
      <c r="E1" t="s">
        <v>84</v>
      </c>
    </row>
    <row r="2" spans="1:5" x14ac:dyDescent="0.35">
      <c r="A2" s="1">
        <v>44652</v>
      </c>
      <c r="B2">
        <v>16</v>
      </c>
      <c r="C2">
        <v>27</v>
      </c>
      <c r="D2">
        <v>20</v>
      </c>
      <c r="E2">
        <f>B2+C2+D2</f>
        <v>63</v>
      </c>
    </row>
    <row r="3" spans="1:5" x14ac:dyDescent="0.35">
      <c r="A3" s="1">
        <v>44653</v>
      </c>
      <c r="B3">
        <v>24</v>
      </c>
      <c r="C3">
        <v>21</v>
      </c>
      <c r="D3">
        <v>42</v>
      </c>
      <c r="E3">
        <f t="shared" ref="E3:E15" si="0">B3+C3+D3</f>
        <v>87</v>
      </c>
    </row>
    <row r="4" spans="1:5" x14ac:dyDescent="0.35">
      <c r="A4" s="1">
        <v>44654</v>
      </c>
      <c r="B4">
        <v>6</v>
      </c>
      <c r="C4">
        <v>21</v>
      </c>
      <c r="D4">
        <v>1</v>
      </c>
      <c r="E4">
        <f t="shared" si="0"/>
        <v>28</v>
      </c>
    </row>
    <row r="5" spans="1:5" x14ac:dyDescent="0.35">
      <c r="A5" s="1">
        <v>44655</v>
      </c>
      <c r="B5">
        <v>23</v>
      </c>
      <c r="C5">
        <v>33</v>
      </c>
      <c r="D5">
        <v>7</v>
      </c>
      <c r="E5">
        <f t="shared" si="0"/>
        <v>63</v>
      </c>
    </row>
    <row r="6" spans="1:5" x14ac:dyDescent="0.35">
      <c r="A6" s="1">
        <v>44656</v>
      </c>
      <c r="B6">
        <v>0</v>
      </c>
      <c r="C6">
        <v>25</v>
      </c>
      <c r="D6">
        <v>13</v>
      </c>
      <c r="E6">
        <f t="shared" si="0"/>
        <v>38</v>
      </c>
    </row>
    <row r="7" spans="1:5" x14ac:dyDescent="0.35">
      <c r="A7" s="1">
        <v>44657</v>
      </c>
      <c r="B7">
        <v>21</v>
      </c>
      <c r="C7">
        <v>21</v>
      </c>
      <c r="D7">
        <v>0</v>
      </c>
      <c r="E7">
        <f t="shared" si="0"/>
        <v>42</v>
      </c>
    </row>
    <row r="8" spans="1:5" x14ac:dyDescent="0.35">
      <c r="A8" s="1">
        <v>44658</v>
      </c>
      <c r="B8">
        <v>18</v>
      </c>
      <c r="C8">
        <v>25</v>
      </c>
      <c r="D8">
        <v>32</v>
      </c>
      <c r="E8">
        <f t="shared" si="0"/>
        <v>75</v>
      </c>
    </row>
    <row r="9" spans="1:5" x14ac:dyDescent="0.35">
      <c r="A9" s="1">
        <v>44659</v>
      </c>
      <c r="B9">
        <v>5</v>
      </c>
      <c r="C9">
        <v>23</v>
      </c>
      <c r="D9">
        <v>50</v>
      </c>
      <c r="E9">
        <f t="shared" si="0"/>
        <v>78</v>
      </c>
    </row>
    <row r="10" spans="1:5" x14ac:dyDescent="0.35">
      <c r="A10" s="1">
        <v>44660</v>
      </c>
      <c r="B10">
        <v>9</v>
      </c>
      <c r="C10">
        <v>0</v>
      </c>
      <c r="D10">
        <v>38</v>
      </c>
      <c r="E10">
        <f t="shared" si="0"/>
        <v>47</v>
      </c>
    </row>
    <row r="11" spans="1:5" x14ac:dyDescent="0.35">
      <c r="A11" s="1">
        <v>44661</v>
      </c>
      <c r="B11">
        <v>4</v>
      </c>
      <c r="C11">
        <v>34</v>
      </c>
      <c r="D11">
        <v>26</v>
      </c>
      <c r="E11">
        <f t="shared" si="0"/>
        <v>64</v>
      </c>
    </row>
    <row r="12" spans="1:5" x14ac:dyDescent="0.35">
      <c r="A12" s="1">
        <v>44662</v>
      </c>
      <c r="B12">
        <v>16</v>
      </c>
      <c r="C12">
        <v>21</v>
      </c>
      <c r="D12">
        <v>27</v>
      </c>
      <c r="E12">
        <f t="shared" si="0"/>
        <v>64</v>
      </c>
    </row>
    <row r="13" spans="1:5" x14ac:dyDescent="0.35">
      <c r="A13" s="1">
        <v>44663</v>
      </c>
      <c r="B13">
        <v>20</v>
      </c>
      <c r="C13">
        <v>35</v>
      </c>
      <c r="D13">
        <v>48</v>
      </c>
      <c r="E13">
        <f t="shared" si="0"/>
        <v>103</v>
      </c>
    </row>
    <row r="14" spans="1:5" x14ac:dyDescent="0.35">
      <c r="A14" s="1">
        <v>44664</v>
      </c>
      <c r="B14">
        <v>3</v>
      </c>
      <c r="C14">
        <v>27</v>
      </c>
      <c r="D14">
        <v>35</v>
      </c>
      <c r="E14">
        <f t="shared" si="0"/>
        <v>65</v>
      </c>
    </row>
    <row r="15" spans="1:5" x14ac:dyDescent="0.35">
      <c r="A15" s="1">
        <v>44665</v>
      </c>
      <c r="B15">
        <v>0</v>
      </c>
      <c r="C15">
        <v>0</v>
      </c>
      <c r="D15">
        <v>0</v>
      </c>
      <c r="E15">
        <f t="shared" si="0"/>
        <v>0</v>
      </c>
    </row>
    <row r="16" spans="1:5" x14ac:dyDescent="0.35">
      <c r="D16" t="s">
        <v>85</v>
      </c>
      <c r="E16">
        <f>SUM(E2:E15)</f>
        <v>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Sheet2</vt:lpstr>
      <vt:lpstr>Sheet3</vt:lpstr>
      <vt:lpstr>Sheet4</vt:lpstr>
      <vt:lpstr>Sheet5</vt:lpstr>
      <vt:lpstr>Data</vt:lpstr>
      <vt:lpstr>Cost</vt:lpstr>
      <vt:lpstr>Shift_Running</vt:lpstr>
      <vt:lpstr>Actual_Output</vt:lpstr>
      <vt:lpstr>Scrap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24f3004421@ds.study.iitm.ac.in</cp:lastModifiedBy>
  <dcterms:created xsi:type="dcterms:W3CDTF">2025-02-26T15:04:30Z</dcterms:created>
  <dcterms:modified xsi:type="dcterms:W3CDTF">2025-11-19T10:24:04Z</dcterms:modified>
</cp:coreProperties>
</file>