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D4D16C87-C613-4E0A-AF04-6ACE376C96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63" i="1"/>
  <c r="I58" i="1"/>
  <c r="I54" i="1"/>
  <c r="I40" i="1"/>
  <c r="I20" i="1"/>
  <c r="I11" i="1"/>
  <c r="E104" i="1"/>
  <c r="G53" i="1"/>
  <c r="I53" i="1" s="1"/>
  <c r="G54" i="1"/>
  <c r="G55" i="1"/>
  <c r="I55" i="1" s="1"/>
  <c r="G56" i="1"/>
  <c r="I56" i="1" s="1"/>
  <c r="G57" i="1"/>
  <c r="I57" i="1" s="1"/>
  <c r="G59" i="1"/>
  <c r="I59" i="1" s="1"/>
  <c r="G89" i="1"/>
  <c r="I89" i="1" s="1"/>
  <c r="G101" i="1"/>
  <c r="I101" i="1" s="1"/>
  <c r="G5" i="1"/>
  <c r="I5" i="1" s="1"/>
  <c r="F2" i="1"/>
  <c r="F3" i="1"/>
  <c r="G3" i="1" s="1"/>
  <c r="I3" i="1" s="1"/>
  <c r="F4" i="1"/>
  <c r="G4" i="1" s="1"/>
  <c r="I4" i="1" s="1"/>
  <c r="F5" i="1"/>
  <c r="F6" i="1"/>
  <c r="G6" i="1" s="1"/>
  <c r="I6" i="1" s="1"/>
  <c r="F7" i="1"/>
  <c r="G7" i="1" s="1"/>
  <c r="I7" i="1" s="1"/>
  <c r="F8" i="1"/>
  <c r="G8" i="1" s="1"/>
  <c r="I8" i="1" s="1"/>
  <c r="F9" i="1"/>
  <c r="G9" i="1" s="1"/>
  <c r="I9" i="1" s="1"/>
  <c r="F10" i="1"/>
  <c r="G10" i="1" s="1"/>
  <c r="I10" i="1" s="1"/>
  <c r="F11" i="1"/>
  <c r="G11" i="1" s="1"/>
  <c r="F12" i="1"/>
  <c r="G12" i="1" s="1"/>
  <c r="I12" i="1" s="1"/>
  <c r="F13" i="1"/>
  <c r="G13" i="1" s="1"/>
  <c r="I13" i="1" s="1"/>
  <c r="F14" i="1"/>
  <c r="G14" i="1" s="1"/>
  <c r="I14" i="1" s="1"/>
  <c r="F15" i="1"/>
  <c r="G15" i="1" s="1"/>
  <c r="I15" i="1" s="1"/>
  <c r="F16" i="1"/>
  <c r="G16" i="1" s="1"/>
  <c r="I16" i="1" s="1"/>
  <c r="F17" i="1"/>
  <c r="G17" i="1" s="1"/>
  <c r="I17" i="1" s="1"/>
  <c r="F18" i="1"/>
  <c r="G18" i="1" s="1"/>
  <c r="I18" i="1" s="1"/>
  <c r="F19" i="1"/>
  <c r="G19" i="1" s="1"/>
  <c r="I19" i="1" s="1"/>
  <c r="F20" i="1"/>
  <c r="G20" i="1" s="1"/>
  <c r="F21" i="1"/>
  <c r="G21" i="1" s="1"/>
  <c r="I21" i="1" s="1"/>
  <c r="F22" i="1"/>
  <c r="G22" i="1" s="1"/>
  <c r="I22" i="1" s="1"/>
  <c r="F23" i="1"/>
  <c r="G23" i="1" s="1"/>
  <c r="I23" i="1" s="1"/>
  <c r="F24" i="1"/>
  <c r="G24" i="1" s="1"/>
  <c r="I24" i="1" s="1"/>
  <c r="F25" i="1"/>
  <c r="G25" i="1" s="1"/>
  <c r="I25" i="1" s="1"/>
  <c r="F26" i="1"/>
  <c r="G26" i="1" s="1"/>
  <c r="I26" i="1" s="1"/>
  <c r="F27" i="1"/>
  <c r="G27" i="1" s="1"/>
  <c r="I27" i="1" s="1"/>
  <c r="F28" i="1"/>
  <c r="G28" i="1" s="1"/>
  <c r="I28" i="1" s="1"/>
  <c r="F29" i="1"/>
  <c r="G29" i="1" s="1"/>
  <c r="I29" i="1" s="1"/>
  <c r="F30" i="1"/>
  <c r="G30" i="1" s="1"/>
  <c r="I30" i="1" s="1"/>
  <c r="F31" i="1"/>
  <c r="G31" i="1" s="1"/>
  <c r="I31" i="1" s="1"/>
  <c r="F32" i="1"/>
  <c r="G32" i="1" s="1"/>
  <c r="I32" i="1" s="1"/>
  <c r="F33" i="1"/>
  <c r="G33" i="1" s="1"/>
  <c r="I33" i="1" s="1"/>
  <c r="F34" i="1"/>
  <c r="G34" i="1" s="1"/>
  <c r="I34" i="1" s="1"/>
  <c r="F35" i="1"/>
  <c r="G35" i="1" s="1"/>
  <c r="I35" i="1" s="1"/>
  <c r="F36" i="1"/>
  <c r="G36" i="1" s="1"/>
  <c r="I36" i="1" s="1"/>
  <c r="F37" i="1"/>
  <c r="G37" i="1" s="1"/>
  <c r="I37" i="1" s="1"/>
  <c r="F38" i="1"/>
  <c r="G38" i="1" s="1"/>
  <c r="I38" i="1" s="1"/>
  <c r="F39" i="1"/>
  <c r="G39" i="1" s="1"/>
  <c r="I39" i="1" s="1"/>
  <c r="F40" i="1"/>
  <c r="G40" i="1" s="1"/>
  <c r="F41" i="1"/>
  <c r="G41" i="1" s="1"/>
  <c r="I41" i="1" s="1"/>
  <c r="F42" i="1"/>
  <c r="G42" i="1" s="1"/>
  <c r="I42" i="1" s="1"/>
  <c r="F43" i="1"/>
  <c r="G43" i="1" s="1"/>
  <c r="I43" i="1" s="1"/>
  <c r="F44" i="1"/>
  <c r="G44" i="1" s="1"/>
  <c r="I44" i="1" s="1"/>
  <c r="F45" i="1"/>
  <c r="G45" i="1" s="1"/>
  <c r="I45" i="1" s="1"/>
  <c r="F46" i="1"/>
  <c r="G46" i="1" s="1"/>
  <c r="I46" i="1" s="1"/>
  <c r="F47" i="1"/>
  <c r="G47" i="1" s="1"/>
  <c r="I47" i="1" s="1"/>
  <c r="F48" i="1"/>
  <c r="G48" i="1" s="1"/>
  <c r="I48" i="1" s="1"/>
  <c r="F49" i="1"/>
  <c r="G49" i="1" s="1"/>
  <c r="I49" i="1" s="1"/>
  <c r="F50" i="1"/>
  <c r="G50" i="1" s="1"/>
  <c r="I50" i="1" s="1"/>
  <c r="F51" i="1"/>
  <c r="G51" i="1" s="1"/>
  <c r="I51" i="1" s="1"/>
  <c r="F52" i="1"/>
  <c r="G52" i="1" s="1"/>
  <c r="I52" i="1" s="1"/>
  <c r="F53" i="1"/>
  <c r="F54" i="1"/>
  <c r="F55" i="1"/>
  <c r="F56" i="1"/>
  <c r="F57" i="1"/>
  <c r="F58" i="1"/>
  <c r="G58" i="1" s="1"/>
  <c r="F59" i="1"/>
  <c r="F60" i="1"/>
  <c r="G60" i="1" s="1"/>
  <c r="I60" i="1" s="1"/>
  <c r="F61" i="1"/>
  <c r="G61" i="1" s="1"/>
  <c r="I61" i="1" s="1"/>
  <c r="F62" i="1"/>
  <c r="G62" i="1" s="1"/>
  <c r="I62" i="1" s="1"/>
  <c r="F63" i="1"/>
  <c r="G63" i="1" s="1"/>
  <c r="F64" i="1"/>
  <c r="G64" i="1" s="1"/>
  <c r="I64" i="1" s="1"/>
  <c r="F65" i="1"/>
  <c r="G65" i="1" s="1"/>
  <c r="I65" i="1" s="1"/>
  <c r="F66" i="1"/>
  <c r="G66" i="1" s="1"/>
  <c r="I66" i="1" s="1"/>
  <c r="F67" i="1"/>
  <c r="G67" i="1" s="1"/>
  <c r="I67" i="1" s="1"/>
  <c r="F68" i="1"/>
  <c r="G68" i="1" s="1"/>
  <c r="I68" i="1" s="1"/>
  <c r="F69" i="1"/>
  <c r="G69" i="1" s="1"/>
  <c r="I69" i="1" s="1"/>
  <c r="F70" i="1"/>
  <c r="G70" i="1" s="1"/>
  <c r="I70" i="1" s="1"/>
  <c r="F71" i="1"/>
  <c r="G71" i="1" s="1"/>
  <c r="I71" i="1" s="1"/>
  <c r="F72" i="1"/>
  <c r="G72" i="1" s="1"/>
  <c r="I72" i="1" s="1"/>
  <c r="F73" i="1"/>
  <c r="G73" i="1" s="1"/>
  <c r="I73" i="1" s="1"/>
  <c r="F74" i="1"/>
  <c r="G74" i="1" s="1"/>
  <c r="I74" i="1" s="1"/>
  <c r="F75" i="1"/>
  <c r="G75" i="1" s="1"/>
  <c r="I75" i="1" s="1"/>
  <c r="F76" i="1"/>
  <c r="G76" i="1" s="1"/>
  <c r="I76" i="1" s="1"/>
  <c r="F77" i="1"/>
  <c r="G77" i="1" s="1"/>
  <c r="I77" i="1" s="1"/>
  <c r="F78" i="1"/>
  <c r="G78" i="1" s="1"/>
  <c r="I78" i="1" s="1"/>
  <c r="F79" i="1"/>
  <c r="G79" i="1" s="1"/>
  <c r="I79" i="1" s="1"/>
  <c r="F80" i="1"/>
  <c r="G80" i="1" s="1"/>
  <c r="I80" i="1" s="1"/>
  <c r="F81" i="1"/>
  <c r="G81" i="1" s="1"/>
  <c r="I81" i="1" s="1"/>
  <c r="F82" i="1"/>
  <c r="G82" i="1" s="1"/>
  <c r="I82" i="1" s="1"/>
  <c r="F83" i="1"/>
  <c r="G83" i="1" s="1"/>
  <c r="I83" i="1" s="1"/>
  <c r="F84" i="1"/>
  <c r="G84" i="1" s="1"/>
  <c r="I84" i="1" s="1"/>
  <c r="F85" i="1"/>
  <c r="G85" i="1" s="1"/>
  <c r="I85" i="1" s="1"/>
  <c r="F86" i="1"/>
  <c r="G86" i="1" s="1"/>
  <c r="I86" i="1" s="1"/>
  <c r="F87" i="1"/>
  <c r="G87" i="1" s="1"/>
  <c r="I87" i="1" s="1"/>
  <c r="F88" i="1"/>
  <c r="G88" i="1" s="1"/>
  <c r="I88" i="1" s="1"/>
  <c r="F89" i="1"/>
  <c r="F90" i="1"/>
  <c r="G90" i="1" s="1"/>
  <c r="I90" i="1" s="1"/>
  <c r="F91" i="1"/>
  <c r="G91" i="1" s="1"/>
  <c r="I91" i="1" s="1"/>
  <c r="F92" i="1"/>
  <c r="G92" i="1" s="1"/>
  <c r="I92" i="1" s="1"/>
  <c r="F93" i="1"/>
  <c r="G93" i="1" s="1"/>
  <c r="I93" i="1" s="1"/>
  <c r="F94" i="1"/>
  <c r="G94" i="1" s="1"/>
  <c r="I94" i="1" s="1"/>
  <c r="F95" i="1"/>
  <c r="G95" i="1" s="1"/>
  <c r="I95" i="1" s="1"/>
  <c r="F96" i="1"/>
  <c r="G96" i="1" s="1"/>
  <c r="I96" i="1" s="1"/>
  <c r="F97" i="1"/>
  <c r="G97" i="1" s="1"/>
  <c r="I97" i="1" s="1"/>
  <c r="F98" i="1"/>
  <c r="G98" i="1" s="1"/>
  <c r="I98" i="1" s="1"/>
  <c r="F99" i="1"/>
  <c r="G99" i="1" s="1"/>
  <c r="F100" i="1"/>
  <c r="G100" i="1" s="1"/>
  <c r="I100" i="1" s="1"/>
  <c r="F101" i="1"/>
  <c r="C5" i="3"/>
  <c r="C4" i="3"/>
  <c r="C7" i="3"/>
  <c r="C6" i="3"/>
  <c r="F104" i="1" l="1"/>
  <c r="G2" i="1"/>
  <c r="I2" i="1" s="1"/>
</calcChain>
</file>

<file path=xl/sharedStrings.xml><?xml version="1.0" encoding="utf-8"?>
<sst xmlns="http://schemas.openxmlformats.org/spreadsheetml/2006/main" count="243" uniqueCount="133">
  <si>
    <t>Roll Number</t>
  </si>
  <si>
    <t>Department</t>
  </si>
  <si>
    <t>Maths</t>
  </si>
  <si>
    <t>Physics</t>
  </si>
  <si>
    <t>Chemistry</t>
  </si>
  <si>
    <t>Language</t>
  </si>
  <si>
    <t>ABCD001</t>
  </si>
  <si>
    <t>ECE</t>
  </si>
  <si>
    <t>ABCD002</t>
  </si>
  <si>
    <t>CS</t>
  </si>
  <si>
    <t>ABCD003</t>
  </si>
  <si>
    <t>ABCD004</t>
  </si>
  <si>
    <t>ABCD005</t>
  </si>
  <si>
    <t>MECH</t>
  </si>
  <si>
    <t>ABCD006</t>
  </si>
  <si>
    <t>ABCD007</t>
  </si>
  <si>
    <t>ABCD008</t>
  </si>
  <si>
    <t>ABCD009</t>
  </si>
  <si>
    <t>ABCD010</t>
  </si>
  <si>
    <t>ABCD011</t>
  </si>
  <si>
    <t>ABCD012</t>
  </si>
  <si>
    <t>ABCD013</t>
  </si>
  <si>
    <t>ABCD014</t>
  </si>
  <si>
    <t>ABCD015</t>
  </si>
  <si>
    <t>ABCD016</t>
  </si>
  <si>
    <t>ABCD017</t>
  </si>
  <si>
    <t>ABCD018</t>
  </si>
  <si>
    <t>ABCD019</t>
  </si>
  <si>
    <t>ABCD020</t>
  </si>
  <si>
    <t>ABCD021</t>
  </si>
  <si>
    <t>ABCD022</t>
  </si>
  <si>
    <t>ABCD023</t>
  </si>
  <si>
    <t>ABCD024</t>
  </si>
  <si>
    <t>ABCD025</t>
  </si>
  <si>
    <t>ABCD026</t>
  </si>
  <si>
    <t>ABCD027</t>
  </si>
  <si>
    <t>ABCD028</t>
  </si>
  <si>
    <t>ABCD029</t>
  </si>
  <si>
    <t>ABCD030</t>
  </si>
  <si>
    <t>ABCD031</t>
  </si>
  <si>
    <t>ABCD032</t>
  </si>
  <si>
    <t>ABCD033</t>
  </si>
  <si>
    <t>ABCD034</t>
  </si>
  <si>
    <t>ABCD035</t>
  </si>
  <si>
    <t>ABCD036</t>
  </si>
  <si>
    <t>ABCD037</t>
  </si>
  <si>
    <t>ABCD038</t>
  </si>
  <si>
    <t>ABCD039</t>
  </si>
  <si>
    <t>ABCD040</t>
  </si>
  <si>
    <t>ABCD041</t>
  </si>
  <si>
    <t>ABCD042</t>
  </si>
  <si>
    <t>ABCD043</t>
  </si>
  <si>
    <t>ABCD044</t>
  </si>
  <si>
    <t>ABCD045</t>
  </si>
  <si>
    <t>ABCD046</t>
  </si>
  <si>
    <t>ABCD047</t>
  </si>
  <si>
    <t>ABCD048</t>
  </si>
  <si>
    <t>ABCD049</t>
  </si>
  <si>
    <t>ABCD050</t>
  </si>
  <si>
    <t>ABCD051</t>
  </si>
  <si>
    <t>ABCD052</t>
  </si>
  <si>
    <t>ABCD053</t>
  </si>
  <si>
    <t>ABCD054</t>
  </si>
  <si>
    <t>ABCD055</t>
  </si>
  <si>
    <t>ABCD056</t>
  </si>
  <si>
    <t>ABCD057</t>
  </si>
  <si>
    <t>ABCD058</t>
  </si>
  <si>
    <t>ABCD059</t>
  </si>
  <si>
    <t>ABCD060</t>
  </si>
  <si>
    <t>ABCD061</t>
  </si>
  <si>
    <t>ABCD062</t>
  </si>
  <si>
    <t>ABCD063</t>
  </si>
  <si>
    <t>ABCD064</t>
  </si>
  <si>
    <t>ABCD065</t>
  </si>
  <si>
    <t>ABCD066</t>
  </si>
  <si>
    <t>ABCD067</t>
  </si>
  <si>
    <t>ABCD068</t>
  </si>
  <si>
    <t>ABCD069</t>
  </si>
  <si>
    <t>ABCD070</t>
  </si>
  <si>
    <t>ABCD071</t>
  </si>
  <si>
    <t>ABCD072</t>
  </si>
  <si>
    <t>ABCD073</t>
  </si>
  <si>
    <t>ABCD074</t>
  </si>
  <si>
    <t>ABCD075</t>
  </si>
  <si>
    <t>ABCD076</t>
  </si>
  <si>
    <t>ABCD077</t>
  </si>
  <si>
    <t>ABCD078</t>
  </si>
  <si>
    <t>ABCD079</t>
  </si>
  <si>
    <t>ABCD080</t>
  </si>
  <si>
    <t>ABCD081</t>
  </si>
  <si>
    <t>ABCD082</t>
  </si>
  <si>
    <t>ABCD083</t>
  </si>
  <si>
    <t>ABCD084</t>
  </si>
  <si>
    <t>ABCD085</t>
  </si>
  <si>
    <t>ABCD086</t>
  </si>
  <si>
    <t>ABCD087</t>
  </si>
  <si>
    <t>ABCD088</t>
  </si>
  <si>
    <t>ABCD089</t>
  </si>
  <si>
    <t>ABCD090</t>
  </si>
  <si>
    <t>ABCD091</t>
  </si>
  <si>
    <t>ABCD092</t>
  </si>
  <si>
    <t>ABCD093</t>
  </si>
  <si>
    <t>ABCD094</t>
  </si>
  <si>
    <t>ABCD095</t>
  </si>
  <si>
    <t>ABCD096</t>
  </si>
  <si>
    <t>ABCD097</t>
  </si>
  <si>
    <t>ABCD098</t>
  </si>
  <si>
    <t>ABCD099</t>
  </si>
  <si>
    <t>ABCD100</t>
  </si>
  <si>
    <t>Grade</t>
  </si>
  <si>
    <t>Grade Description</t>
  </si>
  <si>
    <t>A</t>
  </si>
  <si>
    <t>Distinction</t>
  </si>
  <si>
    <t>B</t>
  </si>
  <si>
    <t>First Class</t>
  </si>
  <si>
    <t>C</t>
  </si>
  <si>
    <t>Second Class</t>
  </si>
  <si>
    <t>D</t>
  </si>
  <si>
    <t>Third Class</t>
  </si>
  <si>
    <t>E</t>
  </si>
  <si>
    <t>Pass</t>
  </si>
  <si>
    <t>F</t>
  </si>
  <si>
    <t>Fail</t>
  </si>
  <si>
    <t>min in physics</t>
  </si>
  <si>
    <t>avg in chemistry</t>
  </si>
  <si>
    <t>avg in language</t>
  </si>
  <si>
    <t>QUESTIONS</t>
  </si>
  <si>
    <t>ANS</t>
  </si>
  <si>
    <t xml:space="preserve">max in maths </t>
  </si>
  <si>
    <t>lang_adj</t>
  </si>
  <si>
    <t>total_avg</t>
  </si>
  <si>
    <t>grade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</si>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</sst>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0" xfId="2"/>
    <xf numFmtId="0" fontId="3" fillId="2" borderId="0" xfId="1"/>
    <xf numFmtId="0" fontId="3" fillId="4" borderId="0" xfId="3"/>
    <xf numFmtId="0" fontId="3" fillId="5" borderId="0" xfId="4"/>
    <xf numFmtId="0" fontId="1" fillId="0" borderId="2" xfId="0" applyFont="1" applyFill="1" applyBorder="1" applyAlignment="1">
      <alignment horizontal="center" vertical="top"/>
    </xf>
  </cellXfs>
  <cellStyles count="5">
    <cellStyle name="20% - Accent2" xfId="2" builtinId="34"/>
    <cellStyle name="Accent2" xfId="1" builtinId="33"/>
    <cellStyle name="Accent3" xfId="3" builtinId="37"/>
    <cellStyle name="Accent6" xfId="4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0AB92-E27E-486F-A440-42A435CBED53}" name="Table1" displayName="Table1" ref="B3:C7" totalsRowShown="0" headerRowCellStyle="20% - Accent2">
  <autoFilter ref="B3:C7" xr:uid="{0070AB92-E27E-486F-A440-42A435CBED53}"/>
  <tableColumns count="2">
    <tableColumn id="1" xr3:uid="{C2119BF5-5569-4385-A223-DB1DCBAF0A04}" name="QUESTIONS"/>
    <tableColumn id="2" xr3:uid="{934F4A0B-7447-40E8-B097-B9D9CF061FEC}" name="A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4"/>
  <sheetViews>
    <sheetView tabSelected="1" workbookViewId="0">
      <selection activeCell="I40" sqref="I40"/>
    </sheetView>
  </sheetViews>
  <sheetFormatPr defaultRowHeight="14.5" x14ac:dyDescent="0.35"/>
  <cols>
    <col min="1" max="1" width="15.7265625" bestFit="1" customWidth="1"/>
    <col min="2" max="2" width="15.6328125" bestFit="1" customWidth="1"/>
    <col min="3" max="3" width="10.7265625" bestFit="1" customWidth="1"/>
    <col min="4" max="4" width="11.36328125" bestFit="1" customWidth="1"/>
    <col min="5" max="5" width="13.81640625" bestFit="1" customWidth="1"/>
    <col min="7" max="7" width="14.26953125" bestFit="1" customWidth="1"/>
    <col min="8" max="8" width="10.269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129</v>
      </c>
      <c r="G1" s="6" t="s">
        <v>130</v>
      </c>
      <c r="H1" s="1" t="s">
        <v>5</v>
      </c>
      <c r="I1" s="6" t="s">
        <v>131</v>
      </c>
    </row>
    <row r="2" spans="1:13" hidden="1" x14ac:dyDescent="0.35">
      <c r="A2" t="s">
        <v>6</v>
      </c>
      <c r="B2" t="s">
        <v>7</v>
      </c>
      <c r="C2">
        <v>45</v>
      </c>
      <c r="D2">
        <v>77</v>
      </c>
      <c r="E2">
        <v>81</v>
      </c>
      <c r="F2">
        <f>H2*4</f>
        <v>36</v>
      </c>
      <c r="G2">
        <f>SUM(C2:F2)/4</f>
        <v>59.75</v>
      </c>
      <c r="H2">
        <v>9</v>
      </c>
      <c r="I2" t="str">
        <f>IF(G2&gt;=90,"A",
   IF(G2&gt;=75,"B",
   IF(G2&gt;=60,"C",
   IF(G2&gt;=50,"D",
   IF(G2&gt;=35,"E","F")))))</f>
        <v>D</v>
      </c>
    </row>
    <row r="3" spans="1:13" hidden="1" x14ac:dyDescent="0.35">
      <c r="A3" t="s">
        <v>8</v>
      </c>
      <c r="B3" t="s">
        <v>9</v>
      </c>
      <c r="C3">
        <v>15</v>
      </c>
      <c r="D3">
        <v>42</v>
      </c>
      <c r="E3">
        <v>51</v>
      </c>
      <c r="F3">
        <f>H3*4</f>
        <v>48</v>
      </c>
      <c r="G3">
        <f t="shared" ref="G3:G66" si="0">SUM(C3:F3)/4</f>
        <v>39</v>
      </c>
      <c r="H3">
        <v>12</v>
      </c>
      <c r="I3" t="str">
        <f t="shared" ref="I3:I66" si="1">IF(G3&gt;=90,"A",
   IF(G3&gt;=75,"B",
   IF(G3&gt;=60,"C",
   IF(G3&gt;=50,"D",
   IF(G3&gt;=35,"E","F")))))</f>
        <v>E</v>
      </c>
    </row>
    <row r="4" spans="1:13" hidden="1" x14ac:dyDescent="0.35">
      <c r="A4" t="s">
        <v>10</v>
      </c>
      <c r="B4" t="s">
        <v>7</v>
      </c>
      <c r="C4">
        <v>29</v>
      </c>
      <c r="D4">
        <v>60</v>
      </c>
      <c r="E4">
        <v>44</v>
      </c>
      <c r="F4">
        <f>H4*4</f>
        <v>64</v>
      </c>
      <c r="G4">
        <f t="shared" si="0"/>
        <v>49.25</v>
      </c>
      <c r="H4">
        <v>16</v>
      </c>
      <c r="I4" t="str">
        <f t="shared" si="1"/>
        <v>E</v>
      </c>
    </row>
    <row r="5" spans="1:13" hidden="1" x14ac:dyDescent="0.35">
      <c r="A5" t="s">
        <v>11</v>
      </c>
      <c r="B5" t="s">
        <v>7</v>
      </c>
      <c r="C5">
        <v>66</v>
      </c>
      <c r="D5">
        <v>6</v>
      </c>
      <c r="E5">
        <v>65</v>
      </c>
      <c r="F5">
        <f>H5*4</f>
        <v>52</v>
      </c>
      <c r="G5">
        <f t="shared" si="0"/>
        <v>47.25</v>
      </c>
      <c r="H5">
        <v>13</v>
      </c>
      <c r="I5" t="str">
        <f t="shared" si="1"/>
        <v>E</v>
      </c>
    </row>
    <row r="6" spans="1:13" hidden="1" x14ac:dyDescent="0.35">
      <c r="A6" t="s">
        <v>12</v>
      </c>
      <c r="B6" t="s">
        <v>13</v>
      </c>
      <c r="C6">
        <v>15</v>
      </c>
      <c r="D6">
        <v>69</v>
      </c>
      <c r="E6">
        <v>52</v>
      </c>
      <c r="F6">
        <f>H6*4</f>
        <v>56</v>
      </c>
      <c r="G6">
        <f t="shared" si="0"/>
        <v>48</v>
      </c>
      <c r="H6">
        <v>14</v>
      </c>
      <c r="I6" t="str">
        <f t="shared" si="1"/>
        <v>E</v>
      </c>
    </row>
    <row r="7" spans="1:13" hidden="1" x14ac:dyDescent="0.35">
      <c r="A7" t="s">
        <v>14</v>
      </c>
      <c r="B7" t="s">
        <v>13</v>
      </c>
      <c r="C7">
        <v>47</v>
      </c>
      <c r="D7">
        <v>32</v>
      </c>
      <c r="E7">
        <v>45</v>
      </c>
      <c r="F7">
        <f>H7*4</f>
        <v>64</v>
      </c>
      <c r="G7">
        <f t="shared" si="0"/>
        <v>47</v>
      </c>
      <c r="H7">
        <v>16</v>
      </c>
      <c r="I7" t="str">
        <f t="shared" si="1"/>
        <v>E</v>
      </c>
    </row>
    <row r="8" spans="1:13" x14ac:dyDescent="0.35">
      <c r="A8" t="s">
        <v>15</v>
      </c>
      <c r="B8" t="s">
        <v>13</v>
      </c>
      <c r="C8">
        <v>39</v>
      </c>
      <c r="D8">
        <v>80</v>
      </c>
      <c r="E8">
        <v>33</v>
      </c>
      <c r="F8">
        <f>H8*4</f>
        <v>64</v>
      </c>
      <c r="G8">
        <f t="shared" si="0"/>
        <v>54</v>
      </c>
      <c r="H8">
        <v>16</v>
      </c>
      <c r="I8" t="str">
        <f t="shared" si="1"/>
        <v>D</v>
      </c>
    </row>
    <row r="9" spans="1:13" hidden="1" x14ac:dyDescent="0.35">
      <c r="A9" t="s">
        <v>16</v>
      </c>
      <c r="B9" t="s">
        <v>9</v>
      </c>
      <c r="C9">
        <v>36</v>
      </c>
      <c r="D9">
        <v>51</v>
      </c>
      <c r="E9">
        <v>51</v>
      </c>
      <c r="F9">
        <f>H9*4</f>
        <v>44</v>
      </c>
      <c r="G9">
        <f t="shared" si="0"/>
        <v>45.5</v>
      </c>
      <c r="H9">
        <v>11</v>
      </c>
      <c r="I9" t="str">
        <f t="shared" si="1"/>
        <v>E</v>
      </c>
    </row>
    <row r="10" spans="1:13" hidden="1" x14ac:dyDescent="0.35">
      <c r="A10" t="s">
        <v>17</v>
      </c>
      <c r="B10" t="s">
        <v>9</v>
      </c>
      <c r="C10">
        <v>42</v>
      </c>
      <c r="D10">
        <v>69</v>
      </c>
      <c r="E10">
        <v>52</v>
      </c>
      <c r="F10">
        <f>H10*4</f>
        <v>52</v>
      </c>
      <c r="G10">
        <f t="shared" si="0"/>
        <v>53.75</v>
      </c>
      <c r="H10">
        <v>13</v>
      </c>
      <c r="I10" t="str">
        <f t="shared" si="1"/>
        <v>D</v>
      </c>
    </row>
    <row r="11" spans="1:13" x14ac:dyDescent="0.35">
      <c r="A11" t="s">
        <v>18</v>
      </c>
      <c r="B11" t="s">
        <v>13</v>
      </c>
      <c r="C11">
        <v>35</v>
      </c>
      <c r="D11">
        <v>65</v>
      </c>
      <c r="E11">
        <v>53</v>
      </c>
      <c r="F11">
        <f>H11*4</f>
        <v>60</v>
      </c>
      <c r="G11">
        <f t="shared" si="0"/>
        <v>53.25</v>
      </c>
      <c r="H11">
        <v>15</v>
      </c>
      <c r="I11" t="str">
        <f t="shared" si="1"/>
        <v>D</v>
      </c>
    </row>
    <row r="12" spans="1:13" hidden="1" x14ac:dyDescent="0.35">
      <c r="A12" t="s">
        <v>19</v>
      </c>
      <c r="B12" t="s">
        <v>13</v>
      </c>
      <c r="C12">
        <v>22</v>
      </c>
      <c r="D12">
        <v>38</v>
      </c>
      <c r="E12">
        <v>23</v>
      </c>
      <c r="F12">
        <f>H12*4</f>
        <v>36</v>
      </c>
      <c r="G12">
        <f t="shared" si="0"/>
        <v>29.75</v>
      </c>
      <c r="H12">
        <v>9</v>
      </c>
      <c r="I12" t="str">
        <f t="shared" si="1"/>
        <v>F</v>
      </c>
      <c r="M12" t="s">
        <v>117</v>
      </c>
    </row>
    <row r="13" spans="1:13" hidden="1" x14ac:dyDescent="0.35">
      <c r="A13" t="s">
        <v>20</v>
      </c>
      <c r="B13" t="s">
        <v>7</v>
      </c>
      <c r="C13">
        <v>63</v>
      </c>
      <c r="D13">
        <v>54</v>
      </c>
      <c r="E13">
        <v>35</v>
      </c>
      <c r="F13">
        <f>H13*4</f>
        <v>76</v>
      </c>
      <c r="G13">
        <f t="shared" si="0"/>
        <v>57</v>
      </c>
      <c r="H13">
        <v>19</v>
      </c>
      <c r="I13" t="str">
        <f t="shared" si="1"/>
        <v>D</v>
      </c>
      <c r="M13" t="s">
        <v>117</v>
      </c>
    </row>
    <row r="14" spans="1:13" hidden="1" x14ac:dyDescent="0.35">
      <c r="A14" t="s">
        <v>21</v>
      </c>
      <c r="B14" t="s">
        <v>13</v>
      </c>
      <c r="C14">
        <v>14</v>
      </c>
      <c r="D14">
        <v>41</v>
      </c>
      <c r="E14">
        <v>39</v>
      </c>
      <c r="F14">
        <f>H14*4</f>
        <v>56</v>
      </c>
      <c r="G14">
        <f t="shared" si="0"/>
        <v>37.5</v>
      </c>
      <c r="H14">
        <v>14</v>
      </c>
      <c r="I14" t="str">
        <f t="shared" si="1"/>
        <v>E</v>
      </c>
      <c r="M14" t="s">
        <v>117</v>
      </c>
    </row>
    <row r="15" spans="1:13" hidden="1" x14ac:dyDescent="0.35">
      <c r="A15" t="s">
        <v>22</v>
      </c>
      <c r="B15" t="s">
        <v>7</v>
      </c>
      <c r="C15">
        <v>54</v>
      </c>
      <c r="D15">
        <v>59</v>
      </c>
      <c r="E15">
        <v>45</v>
      </c>
      <c r="F15">
        <f>H15*4</f>
        <v>64</v>
      </c>
      <c r="G15">
        <f t="shared" si="0"/>
        <v>55.5</v>
      </c>
      <c r="H15">
        <v>16</v>
      </c>
      <c r="I15" t="str">
        <f t="shared" si="1"/>
        <v>D</v>
      </c>
      <c r="M15" t="s">
        <v>117</v>
      </c>
    </row>
    <row r="16" spans="1:13" hidden="1" x14ac:dyDescent="0.35">
      <c r="A16" t="s">
        <v>23</v>
      </c>
      <c r="B16" t="s">
        <v>13</v>
      </c>
      <c r="C16">
        <v>22</v>
      </c>
      <c r="D16">
        <v>62</v>
      </c>
      <c r="E16">
        <v>41</v>
      </c>
      <c r="F16">
        <f>H16*4</f>
        <v>64</v>
      </c>
      <c r="G16">
        <f t="shared" si="0"/>
        <v>47.25</v>
      </c>
      <c r="H16">
        <v>16</v>
      </c>
      <c r="I16" t="str">
        <f t="shared" si="1"/>
        <v>E</v>
      </c>
      <c r="M16" t="s">
        <v>117</v>
      </c>
    </row>
    <row r="17" spans="1:13" hidden="1" x14ac:dyDescent="0.35">
      <c r="A17" t="s">
        <v>24</v>
      </c>
      <c r="B17" t="s">
        <v>13</v>
      </c>
      <c r="C17">
        <v>0</v>
      </c>
      <c r="D17">
        <v>59</v>
      </c>
      <c r="E17">
        <v>30</v>
      </c>
      <c r="F17">
        <f>H17*4</f>
        <v>64</v>
      </c>
      <c r="G17">
        <f t="shared" si="0"/>
        <v>38.25</v>
      </c>
      <c r="H17">
        <v>16</v>
      </c>
      <c r="I17" t="str">
        <f t="shared" si="1"/>
        <v>E</v>
      </c>
      <c r="M17" t="s">
        <v>117</v>
      </c>
    </row>
    <row r="18" spans="1:13" hidden="1" x14ac:dyDescent="0.35">
      <c r="A18" t="s">
        <v>25</v>
      </c>
      <c r="B18" t="s">
        <v>9</v>
      </c>
      <c r="C18">
        <v>48</v>
      </c>
      <c r="D18">
        <v>90</v>
      </c>
      <c r="E18">
        <v>52</v>
      </c>
      <c r="F18">
        <f>H18*4</f>
        <v>84</v>
      </c>
      <c r="G18">
        <f t="shared" si="0"/>
        <v>68.5</v>
      </c>
      <c r="H18">
        <v>21</v>
      </c>
      <c r="I18" t="str">
        <f t="shared" si="1"/>
        <v>C</v>
      </c>
      <c r="M18" t="s">
        <v>117</v>
      </c>
    </row>
    <row r="19" spans="1:13" hidden="1" x14ac:dyDescent="0.35">
      <c r="A19" t="s">
        <v>26</v>
      </c>
      <c r="B19" t="s">
        <v>7</v>
      </c>
      <c r="C19">
        <v>40</v>
      </c>
      <c r="D19">
        <v>53</v>
      </c>
      <c r="E19">
        <v>79</v>
      </c>
      <c r="F19">
        <f>H19*4</f>
        <v>68</v>
      </c>
      <c r="G19">
        <f t="shared" si="0"/>
        <v>60</v>
      </c>
      <c r="H19">
        <v>17</v>
      </c>
      <c r="I19" t="str">
        <f t="shared" si="1"/>
        <v>C</v>
      </c>
    </row>
    <row r="20" spans="1:13" x14ac:dyDescent="0.35">
      <c r="A20" t="s">
        <v>27</v>
      </c>
      <c r="B20" t="s">
        <v>13</v>
      </c>
      <c r="C20">
        <v>21</v>
      </c>
      <c r="D20">
        <v>64</v>
      </c>
      <c r="E20">
        <v>59</v>
      </c>
      <c r="F20">
        <f>H20*4</f>
        <v>64</v>
      </c>
      <c r="G20">
        <f t="shared" si="0"/>
        <v>52</v>
      </c>
      <c r="H20">
        <v>16</v>
      </c>
      <c r="I20" t="str">
        <f t="shared" si="1"/>
        <v>D</v>
      </c>
    </row>
    <row r="21" spans="1:13" hidden="1" x14ac:dyDescent="0.35">
      <c r="A21" t="s">
        <v>28</v>
      </c>
      <c r="B21" t="s">
        <v>9</v>
      </c>
      <c r="C21">
        <v>50</v>
      </c>
      <c r="D21">
        <v>33</v>
      </c>
      <c r="E21">
        <v>52</v>
      </c>
      <c r="F21">
        <f>H21*4</f>
        <v>68</v>
      </c>
      <c r="G21">
        <f t="shared" si="0"/>
        <v>50.75</v>
      </c>
      <c r="H21">
        <v>17</v>
      </c>
      <c r="I21" t="str">
        <f t="shared" si="1"/>
        <v>D</v>
      </c>
    </row>
    <row r="22" spans="1:13" hidden="1" x14ac:dyDescent="0.35">
      <c r="A22" t="s">
        <v>29</v>
      </c>
      <c r="B22" t="s">
        <v>7</v>
      </c>
      <c r="C22">
        <v>41</v>
      </c>
      <c r="D22">
        <v>52</v>
      </c>
      <c r="E22">
        <v>51</v>
      </c>
      <c r="F22">
        <f>H22*4</f>
        <v>40</v>
      </c>
      <c r="G22">
        <f t="shared" si="0"/>
        <v>46</v>
      </c>
      <c r="H22">
        <v>10</v>
      </c>
      <c r="I22" t="str">
        <f t="shared" si="1"/>
        <v>E</v>
      </c>
    </row>
    <row r="23" spans="1:13" hidden="1" x14ac:dyDescent="0.35">
      <c r="A23" t="s">
        <v>30</v>
      </c>
      <c r="B23" t="s">
        <v>7</v>
      </c>
      <c r="C23">
        <v>39</v>
      </c>
      <c r="D23">
        <v>61</v>
      </c>
      <c r="E23">
        <v>62</v>
      </c>
      <c r="F23">
        <f>H23*4</f>
        <v>68</v>
      </c>
      <c r="G23">
        <f t="shared" si="0"/>
        <v>57.5</v>
      </c>
      <c r="H23">
        <v>17</v>
      </c>
      <c r="I23" t="str">
        <f t="shared" si="1"/>
        <v>D</v>
      </c>
    </row>
    <row r="24" spans="1:13" hidden="1" x14ac:dyDescent="0.35">
      <c r="A24" t="s">
        <v>31</v>
      </c>
      <c r="B24" t="s">
        <v>7</v>
      </c>
      <c r="C24">
        <v>27</v>
      </c>
      <c r="D24">
        <v>52</v>
      </c>
      <c r="E24">
        <v>60</v>
      </c>
      <c r="F24">
        <f>H24*4</f>
        <v>56</v>
      </c>
      <c r="G24">
        <f t="shared" si="0"/>
        <v>48.75</v>
      </c>
      <c r="H24">
        <v>14</v>
      </c>
      <c r="I24" t="str">
        <f t="shared" si="1"/>
        <v>E</v>
      </c>
    </row>
    <row r="25" spans="1:13" hidden="1" x14ac:dyDescent="0.35">
      <c r="A25" t="s">
        <v>32</v>
      </c>
      <c r="B25" t="s">
        <v>7</v>
      </c>
      <c r="C25">
        <v>63</v>
      </c>
      <c r="D25">
        <v>56</v>
      </c>
      <c r="E25">
        <v>95</v>
      </c>
      <c r="F25">
        <f>H25*4</f>
        <v>36</v>
      </c>
      <c r="G25">
        <f t="shared" si="0"/>
        <v>62.5</v>
      </c>
      <c r="H25">
        <v>9</v>
      </c>
      <c r="I25" t="str">
        <f t="shared" si="1"/>
        <v>C</v>
      </c>
    </row>
    <row r="26" spans="1:13" hidden="1" x14ac:dyDescent="0.35">
      <c r="A26" t="s">
        <v>33</v>
      </c>
      <c r="B26" t="s">
        <v>7</v>
      </c>
      <c r="C26">
        <v>29</v>
      </c>
      <c r="D26">
        <v>69</v>
      </c>
      <c r="E26">
        <v>70</v>
      </c>
      <c r="F26">
        <f>H26*4</f>
        <v>68</v>
      </c>
      <c r="G26">
        <f t="shared" si="0"/>
        <v>59</v>
      </c>
      <c r="H26">
        <v>17</v>
      </c>
      <c r="I26" t="str">
        <f t="shared" si="1"/>
        <v>D</v>
      </c>
    </row>
    <row r="27" spans="1:13" hidden="1" x14ac:dyDescent="0.35">
      <c r="A27" t="s">
        <v>34</v>
      </c>
      <c r="B27" t="s">
        <v>13</v>
      </c>
      <c r="C27">
        <v>33</v>
      </c>
      <c r="D27">
        <v>63</v>
      </c>
      <c r="E27">
        <v>38</v>
      </c>
      <c r="F27">
        <f>H27*4</f>
        <v>48</v>
      </c>
      <c r="G27">
        <f t="shared" si="0"/>
        <v>45.5</v>
      </c>
      <c r="H27">
        <v>12</v>
      </c>
      <c r="I27" t="str">
        <f t="shared" si="1"/>
        <v>E</v>
      </c>
    </row>
    <row r="28" spans="1:13" hidden="1" x14ac:dyDescent="0.35">
      <c r="A28" t="s">
        <v>35</v>
      </c>
      <c r="B28" t="s">
        <v>9</v>
      </c>
      <c r="C28">
        <v>41</v>
      </c>
      <c r="D28">
        <v>44</v>
      </c>
      <c r="E28">
        <v>69</v>
      </c>
      <c r="F28">
        <f>H28*4</f>
        <v>84</v>
      </c>
      <c r="G28">
        <f t="shared" si="0"/>
        <v>59.5</v>
      </c>
      <c r="H28">
        <v>21</v>
      </c>
      <c r="I28" t="str">
        <f t="shared" si="1"/>
        <v>D</v>
      </c>
    </row>
    <row r="29" spans="1:13" hidden="1" x14ac:dyDescent="0.35">
      <c r="A29" t="s">
        <v>36</v>
      </c>
      <c r="B29" t="s">
        <v>13</v>
      </c>
      <c r="C29">
        <v>40</v>
      </c>
      <c r="D29">
        <v>43</v>
      </c>
      <c r="E29">
        <v>34</v>
      </c>
      <c r="F29">
        <f>H29*4</f>
        <v>36</v>
      </c>
      <c r="G29">
        <f t="shared" si="0"/>
        <v>38.25</v>
      </c>
      <c r="H29">
        <v>9</v>
      </c>
      <c r="I29" t="str">
        <f t="shared" si="1"/>
        <v>E</v>
      </c>
    </row>
    <row r="30" spans="1:13" hidden="1" x14ac:dyDescent="0.35">
      <c r="A30" t="s">
        <v>37</v>
      </c>
      <c r="B30" t="s">
        <v>9</v>
      </c>
      <c r="C30">
        <v>27</v>
      </c>
      <c r="D30">
        <v>81</v>
      </c>
      <c r="E30">
        <v>84</v>
      </c>
      <c r="F30">
        <f>H30*4</f>
        <v>48</v>
      </c>
      <c r="G30">
        <f t="shared" si="0"/>
        <v>60</v>
      </c>
      <c r="H30">
        <v>12</v>
      </c>
      <c r="I30" t="str">
        <f t="shared" si="1"/>
        <v>C</v>
      </c>
    </row>
    <row r="31" spans="1:13" hidden="1" x14ac:dyDescent="0.35">
      <c r="A31" t="s">
        <v>38</v>
      </c>
      <c r="B31" t="s">
        <v>9</v>
      </c>
      <c r="C31">
        <v>43</v>
      </c>
      <c r="D31">
        <v>1</v>
      </c>
      <c r="E31">
        <v>75</v>
      </c>
      <c r="F31">
        <f>H31*4</f>
        <v>44</v>
      </c>
      <c r="G31">
        <f t="shared" si="0"/>
        <v>40.75</v>
      </c>
      <c r="H31">
        <v>11</v>
      </c>
      <c r="I31" t="str">
        <f t="shared" si="1"/>
        <v>E</v>
      </c>
    </row>
    <row r="32" spans="1:13" hidden="1" x14ac:dyDescent="0.35">
      <c r="A32" t="s">
        <v>39</v>
      </c>
      <c r="B32" t="s">
        <v>9</v>
      </c>
      <c r="C32">
        <v>44</v>
      </c>
      <c r="D32">
        <v>56</v>
      </c>
      <c r="E32">
        <v>77</v>
      </c>
      <c r="F32">
        <f>H32*4</f>
        <v>64</v>
      </c>
      <c r="G32">
        <f t="shared" si="0"/>
        <v>60.25</v>
      </c>
      <c r="H32">
        <v>16</v>
      </c>
      <c r="I32" t="str">
        <f t="shared" si="1"/>
        <v>C</v>
      </c>
    </row>
    <row r="33" spans="1:9" hidden="1" x14ac:dyDescent="0.35">
      <c r="A33" t="s">
        <v>40</v>
      </c>
      <c r="B33" t="s">
        <v>13</v>
      </c>
      <c r="C33">
        <v>75</v>
      </c>
      <c r="D33">
        <v>41</v>
      </c>
      <c r="E33">
        <v>58</v>
      </c>
      <c r="F33">
        <f>H33*4</f>
        <v>84</v>
      </c>
      <c r="G33">
        <f t="shared" si="0"/>
        <v>64.5</v>
      </c>
      <c r="H33">
        <v>21</v>
      </c>
      <c r="I33" t="str">
        <f t="shared" si="1"/>
        <v>C</v>
      </c>
    </row>
    <row r="34" spans="1:9" hidden="1" x14ac:dyDescent="0.35">
      <c r="A34" t="s">
        <v>41</v>
      </c>
      <c r="B34" t="s">
        <v>7</v>
      </c>
      <c r="C34">
        <v>76</v>
      </c>
      <c r="D34">
        <v>80</v>
      </c>
      <c r="E34">
        <v>63</v>
      </c>
      <c r="F34">
        <f>H34*4</f>
        <v>52</v>
      </c>
      <c r="G34">
        <f t="shared" si="0"/>
        <v>67.75</v>
      </c>
      <c r="H34">
        <v>13</v>
      </c>
      <c r="I34" t="str">
        <f t="shared" si="1"/>
        <v>C</v>
      </c>
    </row>
    <row r="35" spans="1:9" hidden="1" x14ac:dyDescent="0.35">
      <c r="A35" t="s">
        <v>42</v>
      </c>
      <c r="B35" t="s">
        <v>9</v>
      </c>
      <c r="C35">
        <v>21</v>
      </c>
      <c r="D35">
        <v>56</v>
      </c>
      <c r="E35">
        <v>56</v>
      </c>
      <c r="F35">
        <f>H35*4</f>
        <v>60</v>
      </c>
      <c r="G35">
        <f t="shared" si="0"/>
        <v>48.25</v>
      </c>
      <c r="H35">
        <v>15</v>
      </c>
      <c r="I35" t="str">
        <f t="shared" si="1"/>
        <v>E</v>
      </c>
    </row>
    <row r="36" spans="1:9" hidden="1" x14ac:dyDescent="0.35">
      <c r="A36" t="s">
        <v>43</v>
      </c>
      <c r="B36" t="s">
        <v>9</v>
      </c>
      <c r="C36">
        <v>78</v>
      </c>
      <c r="D36">
        <v>53</v>
      </c>
      <c r="E36">
        <v>38</v>
      </c>
      <c r="F36">
        <f>H36*4</f>
        <v>76</v>
      </c>
      <c r="G36">
        <f t="shared" si="0"/>
        <v>61.25</v>
      </c>
      <c r="H36">
        <v>19</v>
      </c>
      <c r="I36" t="str">
        <f t="shared" si="1"/>
        <v>C</v>
      </c>
    </row>
    <row r="37" spans="1:9" hidden="1" x14ac:dyDescent="0.35">
      <c r="A37" t="s">
        <v>44</v>
      </c>
      <c r="B37" t="s">
        <v>13</v>
      </c>
      <c r="C37">
        <v>46</v>
      </c>
      <c r="D37">
        <v>62</v>
      </c>
      <c r="E37">
        <v>86</v>
      </c>
      <c r="F37">
        <f>H37*4</f>
        <v>68</v>
      </c>
      <c r="G37">
        <f t="shared" si="0"/>
        <v>65.5</v>
      </c>
      <c r="H37">
        <v>17</v>
      </c>
      <c r="I37" t="str">
        <f t="shared" si="1"/>
        <v>C</v>
      </c>
    </row>
    <row r="38" spans="1:9" hidden="1" x14ac:dyDescent="0.35">
      <c r="A38" t="s">
        <v>45</v>
      </c>
      <c r="B38" t="s">
        <v>9</v>
      </c>
      <c r="C38">
        <v>10</v>
      </c>
      <c r="D38">
        <v>45</v>
      </c>
      <c r="E38">
        <v>77</v>
      </c>
      <c r="F38">
        <f>H38*4</f>
        <v>68</v>
      </c>
      <c r="G38">
        <f t="shared" si="0"/>
        <v>50</v>
      </c>
      <c r="H38">
        <v>17</v>
      </c>
      <c r="I38" t="str">
        <f t="shared" si="1"/>
        <v>D</v>
      </c>
    </row>
    <row r="39" spans="1:9" hidden="1" x14ac:dyDescent="0.35">
      <c r="A39" t="s">
        <v>46</v>
      </c>
      <c r="B39" t="s">
        <v>7</v>
      </c>
      <c r="C39">
        <v>25</v>
      </c>
      <c r="D39">
        <v>65</v>
      </c>
      <c r="E39">
        <v>81</v>
      </c>
      <c r="F39">
        <f>H39*4</f>
        <v>64</v>
      </c>
      <c r="G39">
        <f t="shared" si="0"/>
        <v>58.75</v>
      </c>
      <c r="H39">
        <v>16</v>
      </c>
      <c r="I39" t="str">
        <f t="shared" si="1"/>
        <v>D</v>
      </c>
    </row>
    <row r="40" spans="1:9" x14ac:dyDescent="0.35">
      <c r="A40" t="s">
        <v>47</v>
      </c>
      <c r="B40" t="s">
        <v>13</v>
      </c>
      <c r="C40">
        <v>39</v>
      </c>
      <c r="D40">
        <v>59</v>
      </c>
      <c r="E40">
        <v>82</v>
      </c>
      <c r="F40">
        <f>H40*4</f>
        <v>56</v>
      </c>
      <c r="G40">
        <f t="shared" si="0"/>
        <v>59</v>
      </c>
      <c r="H40">
        <v>14</v>
      </c>
      <c r="I40" t="str">
        <f t="shared" si="1"/>
        <v>D</v>
      </c>
    </row>
    <row r="41" spans="1:9" hidden="1" x14ac:dyDescent="0.35">
      <c r="A41" t="s">
        <v>48</v>
      </c>
      <c r="B41" t="s">
        <v>7</v>
      </c>
      <c r="C41">
        <v>29</v>
      </c>
      <c r="D41">
        <v>60</v>
      </c>
      <c r="E41">
        <v>45</v>
      </c>
      <c r="F41">
        <f>H41*4</f>
        <v>52</v>
      </c>
      <c r="G41">
        <f t="shared" si="0"/>
        <v>46.5</v>
      </c>
      <c r="H41">
        <v>13</v>
      </c>
      <c r="I41" t="str">
        <f t="shared" si="1"/>
        <v>E</v>
      </c>
    </row>
    <row r="42" spans="1:9" hidden="1" x14ac:dyDescent="0.35">
      <c r="A42" t="s">
        <v>49</v>
      </c>
      <c r="B42" t="s">
        <v>13</v>
      </c>
      <c r="C42">
        <v>12</v>
      </c>
      <c r="D42">
        <v>75</v>
      </c>
      <c r="E42">
        <v>38</v>
      </c>
      <c r="F42">
        <f>H42*4</f>
        <v>56</v>
      </c>
      <c r="G42">
        <f t="shared" si="0"/>
        <v>45.25</v>
      </c>
      <c r="H42">
        <v>14</v>
      </c>
      <c r="I42" t="str">
        <f t="shared" si="1"/>
        <v>E</v>
      </c>
    </row>
    <row r="43" spans="1:9" hidden="1" x14ac:dyDescent="0.35">
      <c r="A43" t="s">
        <v>50</v>
      </c>
      <c r="B43" t="s">
        <v>9</v>
      </c>
      <c r="C43">
        <v>37</v>
      </c>
      <c r="D43">
        <v>63</v>
      </c>
      <c r="E43">
        <v>77</v>
      </c>
      <c r="F43">
        <f>H43*4</f>
        <v>60</v>
      </c>
      <c r="G43">
        <f t="shared" si="0"/>
        <v>59.25</v>
      </c>
      <c r="H43">
        <v>15</v>
      </c>
      <c r="I43" t="str">
        <f t="shared" si="1"/>
        <v>D</v>
      </c>
    </row>
    <row r="44" spans="1:9" hidden="1" x14ac:dyDescent="0.35">
      <c r="A44" t="s">
        <v>51</v>
      </c>
      <c r="B44" t="s">
        <v>7</v>
      </c>
      <c r="C44">
        <v>2</v>
      </c>
      <c r="D44">
        <v>53</v>
      </c>
      <c r="E44">
        <v>75</v>
      </c>
      <c r="F44">
        <f>H44*4</f>
        <v>84</v>
      </c>
      <c r="G44">
        <f t="shared" si="0"/>
        <v>53.5</v>
      </c>
      <c r="H44">
        <v>21</v>
      </c>
      <c r="I44" t="str">
        <f t="shared" si="1"/>
        <v>D</v>
      </c>
    </row>
    <row r="45" spans="1:9" hidden="1" x14ac:dyDescent="0.35">
      <c r="A45" t="s">
        <v>52</v>
      </c>
      <c r="B45" t="s">
        <v>9</v>
      </c>
      <c r="C45">
        <v>15</v>
      </c>
      <c r="D45">
        <v>63</v>
      </c>
      <c r="E45">
        <v>48</v>
      </c>
      <c r="F45">
        <f>H45*4</f>
        <v>60</v>
      </c>
      <c r="G45">
        <f t="shared" si="0"/>
        <v>46.5</v>
      </c>
      <c r="H45">
        <v>15</v>
      </c>
      <c r="I45" t="str">
        <f t="shared" si="1"/>
        <v>E</v>
      </c>
    </row>
    <row r="46" spans="1:9" hidden="1" x14ac:dyDescent="0.35">
      <c r="A46" t="s">
        <v>53</v>
      </c>
      <c r="B46" t="s">
        <v>9</v>
      </c>
      <c r="C46">
        <v>15</v>
      </c>
      <c r="D46">
        <v>61</v>
      </c>
      <c r="E46">
        <v>54</v>
      </c>
      <c r="F46">
        <f>H46*4</f>
        <v>40</v>
      </c>
      <c r="G46">
        <f t="shared" si="0"/>
        <v>42.5</v>
      </c>
      <c r="H46">
        <v>10</v>
      </c>
      <c r="I46" t="str">
        <f t="shared" si="1"/>
        <v>E</v>
      </c>
    </row>
    <row r="47" spans="1:9" hidden="1" x14ac:dyDescent="0.35">
      <c r="A47" t="s">
        <v>54</v>
      </c>
      <c r="B47" t="s">
        <v>7</v>
      </c>
      <c r="C47">
        <v>59</v>
      </c>
      <c r="D47">
        <v>64</v>
      </c>
      <c r="E47">
        <v>47</v>
      </c>
      <c r="F47">
        <f>H47*4</f>
        <v>60</v>
      </c>
      <c r="G47">
        <f t="shared" si="0"/>
        <v>57.5</v>
      </c>
      <c r="H47">
        <v>15</v>
      </c>
      <c r="I47" t="str">
        <f t="shared" si="1"/>
        <v>D</v>
      </c>
    </row>
    <row r="48" spans="1:9" hidden="1" x14ac:dyDescent="0.35">
      <c r="A48" t="s">
        <v>55</v>
      </c>
      <c r="B48" t="s">
        <v>7</v>
      </c>
      <c r="C48">
        <v>36</v>
      </c>
      <c r="D48">
        <v>62</v>
      </c>
      <c r="E48">
        <v>68</v>
      </c>
      <c r="F48">
        <f>H48*4</f>
        <v>60</v>
      </c>
      <c r="G48">
        <f t="shared" si="0"/>
        <v>56.5</v>
      </c>
      <c r="H48">
        <v>15</v>
      </c>
      <c r="I48" t="str">
        <f t="shared" si="1"/>
        <v>D</v>
      </c>
    </row>
    <row r="49" spans="1:13" hidden="1" x14ac:dyDescent="0.35">
      <c r="A49" t="s">
        <v>56</v>
      </c>
      <c r="B49" t="s">
        <v>9</v>
      </c>
      <c r="C49">
        <v>40</v>
      </c>
      <c r="D49">
        <v>59</v>
      </c>
      <c r="E49">
        <v>75</v>
      </c>
      <c r="F49">
        <f>H49*4</f>
        <v>56</v>
      </c>
      <c r="G49">
        <f t="shared" si="0"/>
        <v>57.5</v>
      </c>
      <c r="H49">
        <v>14</v>
      </c>
      <c r="I49" t="str">
        <f t="shared" si="1"/>
        <v>D</v>
      </c>
    </row>
    <row r="50" spans="1:13" hidden="1" x14ac:dyDescent="0.35">
      <c r="A50" t="s">
        <v>57</v>
      </c>
      <c r="B50" t="s">
        <v>9</v>
      </c>
      <c r="C50">
        <v>52</v>
      </c>
      <c r="D50">
        <v>77</v>
      </c>
      <c r="E50">
        <v>21</v>
      </c>
      <c r="F50">
        <f>H50*4</f>
        <v>56</v>
      </c>
      <c r="G50">
        <f t="shared" si="0"/>
        <v>51.5</v>
      </c>
      <c r="H50">
        <v>14</v>
      </c>
      <c r="I50" t="str">
        <f t="shared" si="1"/>
        <v>D</v>
      </c>
    </row>
    <row r="51" spans="1:13" hidden="1" x14ac:dyDescent="0.35">
      <c r="A51" t="s">
        <v>58</v>
      </c>
      <c r="B51" t="s">
        <v>7</v>
      </c>
      <c r="C51">
        <v>9</v>
      </c>
      <c r="D51">
        <v>40</v>
      </c>
      <c r="E51">
        <v>67</v>
      </c>
      <c r="F51">
        <f>H51*4</f>
        <v>52</v>
      </c>
      <c r="G51">
        <f t="shared" si="0"/>
        <v>42</v>
      </c>
      <c r="H51">
        <v>13</v>
      </c>
      <c r="I51" t="str">
        <f t="shared" si="1"/>
        <v>E</v>
      </c>
    </row>
    <row r="52" spans="1:13" hidden="1" x14ac:dyDescent="0.35">
      <c r="A52" t="s">
        <v>59</v>
      </c>
      <c r="B52" t="s">
        <v>7</v>
      </c>
      <c r="C52">
        <v>27</v>
      </c>
      <c r="D52">
        <v>31</v>
      </c>
      <c r="E52">
        <v>46</v>
      </c>
      <c r="F52">
        <f>H52*4</f>
        <v>56</v>
      </c>
      <c r="G52">
        <f t="shared" si="0"/>
        <v>40</v>
      </c>
      <c r="H52">
        <v>14</v>
      </c>
      <c r="I52" t="str">
        <f t="shared" si="1"/>
        <v>E</v>
      </c>
    </row>
    <row r="53" spans="1:13" hidden="1" x14ac:dyDescent="0.35">
      <c r="A53" t="s">
        <v>60</v>
      </c>
      <c r="B53" t="s">
        <v>7</v>
      </c>
      <c r="C53">
        <v>61</v>
      </c>
      <c r="D53">
        <v>53</v>
      </c>
      <c r="E53">
        <v>65</v>
      </c>
      <c r="F53">
        <f>H53*4</f>
        <v>48</v>
      </c>
      <c r="G53">
        <f t="shared" si="0"/>
        <v>56.75</v>
      </c>
      <c r="H53">
        <v>12</v>
      </c>
      <c r="I53" t="str">
        <f t="shared" si="1"/>
        <v>D</v>
      </c>
    </row>
    <row r="54" spans="1:13" x14ac:dyDescent="0.35">
      <c r="A54" t="s">
        <v>61</v>
      </c>
      <c r="B54" t="s">
        <v>13</v>
      </c>
      <c r="C54">
        <v>6</v>
      </c>
      <c r="D54">
        <v>92</v>
      </c>
      <c r="E54">
        <v>56</v>
      </c>
      <c r="F54">
        <f>H54*4</f>
        <v>64</v>
      </c>
      <c r="G54">
        <f t="shared" si="0"/>
        <v>54.5</v>
      </c>
      <c r="H54">
        <v>16</v>
      </c>
      <c r="I54" t="str">
        <f t="shared" si="1"/>
        <v>D</v>
      </c>
    </row>
    <row r="55" spans="1:13" hidden="1" x14ac:dyDescent="0.35">
      <c r="A55" t="s">
        <v>62</v>
      </c>
      <c r="B55" t="s">
        <v>9</v>
      </c>
      <c r="C55">
        <v>29</v>
      </c>
      <c r="D55">
        <v>26</v>
      </c>
      <c r="E55">
        <v>54</v>
      </c>
      <c r="F55">
        <f>H55*4</f>
        <v>76</v>
      </c>
      <c r="G55">
        <f t="shared" si="0"/>
        <v>46.25</v>
      </c>
      <c r="H55">
        <v>19</v>
      </c>
      <c r="I55" t="str">
        <f t="shared" si="1"/>
        <v>E</v>
      </c>
      <c r="M55" t="s">
        <v>117</v>
      </c>
    </row>
    <row r="56" spans="1:13" hidden="1" x14ac:dyDescent="0.35">
      <c r="A56" t="s">
        <v>63</v>
      </c>
      <c r="B56" t="s">
        <v>9</v>
      </c>
      <c r="C56">
        <v>53</v>
      </c>
      <c r="D56">
        <v>59</v>
      </c>
      <c r="E56">
        <v>45</v>
      </c>
      <c r="F56">
        <f>H56*4</f>
        <v>64</v>
      </c>
      <c r="G56">
        <f t="shared" si="0"/>
        <v>55.25</v>
      </c>
      <c r="H56">
        <v>16</v>
      </c>
      <c r="I56" t="str">
        <f t="shared" si="1"/>
        <v>D</v>
      </c>
      <c r="M56" t="s">
        <v>117</v>
      </c>
    </row>
    <row r="57" spans="1:13" hidden="1" x14ac:dyDescent="0.35">
      <c r="A57" t="s">
        <v>64</v>
      </c>
      <c r="B57" t="s">
        <v>7</v>
      </c>
      <c r="C57">
        <v>30</v>
      </c>
      <c r="D57">
        <v>48</v>
      </c>
      <c r="E57">
        <v>58</v>
      </c>
      <c r="F57">
        <f>H57*4</f>
        <v>72</v>
      </c>
      <c r="G57">
        <f t="shared" si="0"/>
        <v>52</v>
      </c>
      <c r="H57">
        <v>18</v>
      </c>
      <c r="I57" t="str">
        <f t="shared" si="1"/>
        <v>D</v>
      </c>
      <c r="M57" t="s">
        <v>117</v>
      </c>
    </row>
    <row r="58" spans="1:13" x14ac:dyDescent="0.35">
      <c r="A58" t="s">
        <v>65</v>
      </c>
      <c r="B58" t="s">
        <v>13</v>
      </c>
      <c r="C58">
        <v>45</v>
      </c>
      <c r="D58">
        <v>68</v>
      </c>
      <c r="E58">
        <v>16</v>
      </c>
      <c r="F58">
        <f>H58*4</f>
        <v>76</v>
      </c>
      <c r="G58">
        <f t="shared" si="0"/>
        <v>51.25</v>
      </c>
      <c r="H58">
        <v>19</v>
      </c>
      <c r="I58" t="str">
        <f t="shared" si="1"/>
        <v>D</v>
      </c>
    </row>
    <row r="59" spans="1:13" hidden="1" x14ac:dyDescent="0.35">
      <c r="A59" t="s">
        <v>66</v>
      </c>
      <c r="B59" t="s">
        <v>13</v>
      </c>
      <c r="C59">
        <v>47</v>
      </c>
      <c r="D59">
        <v>54</v>
      </c>
      <c r="E59">
        <v>78</v>
      </c>
      <c r="F59">
        <f>H59*4</f>
        <v>68</v>
      </c>
      <c r="G59">
        <f t="shared" si="0"/>
        <v>61.75</v>
      </c>
      <c r="H59">
        <v>17</v>
      </c>
      <c r="I59" t="str">
        <f t="shared" si="1"/>
        <v>C</v>
      </c>
      <c r="M59" t="s">
        <v>117</v>
      </c>
    </row>
    <row r="60" spans="1:13" hidden="1" x14ac:dyDescent="0.35">
      <c r="A60" t="s">
        <v>67</v>
      </c>
      <c r="B60" t="s">
        <v>7</v>
      </c>
      <c r="C60">
        <v>44</v>
      </c>
      <c r="D60">
        <v>65</v>
      </c>
      <c r="E60">
        <v>58</v>
      </c>
      <c r="F60">
        <f>H60*4</f>
        <v>48</v>
      </c>
      <c r="G60">
        <f t="shared" si="0"/>
        <v>53.75</v>
      </c>
      <c r="H60">
        <v>12</v>
      </c>
      <c r="I60" t="str">
        <f t="shared" si="1"/>
        <v>D</v>
      </c>
      <c r="M60" t="s">
        <v>117</v>
      </c>
    </row>
    <row r="61" spans="1:13" hidden="1" x14ac:dyDescent="0.35">
      <c r="A61" t="s">
        <v>68</v>
      </c>
      <c r="B61" t="s">
        <v>9</v>
      </c>
      <c r="C61">
        <v>4</v>
      </c>
      <c r="D61">
        <v>26</v>
      </c>
      <c r="E61">
        <v>66</v>
      </c>
      <c r="F61">
        <f>H61*4</f>
        <v>64</v>
      </c>
      <c r="G61">
        <f t="shared" si="0"/>
        <v>40</v>
      </c>
      <c r="H61">
        <v>16</v>
      </c>
      <c r="I61" t="str">
        <f t="shared" si="1"/>
        <v>E</v>
      </c>
      <c r="M61" t="s">
        <v>117</v>
      </c>
    </row>
    <row r="62" spans="1:13" hidden="1" x14ac:dyDescent="0.35">
      <c r="A62" t="s">
        <v>69</v>
      </c>
      <c r="B62" t="s">
        <v>7</v>
      </c>
      <c r="C62">
        <v>61</v>
      </c>
      <c r="D62">
        <v>54</v>
      </c>
      <c r="E62">
        <v>63</v>
      </c>
      <c r="F62">
        <f>H62*4</f>
        <v>76</v>
      </c>
      <c r="G62">
        <f t="shared" si="0"/>
        <v>63.5</v>
      </c>
      <c r="H62">
        <v>19</v>
      </c>
      <c r="I62" t="str">
        <f t="shared" si="1"/>
        <v>C</v>
      </c>
    </row>
    <row r="63" spans="1:13" x14ac:dyDescent="0.35">
      <c r="A63" t="s">
        <v>70</v>
      </c>
      <c r="B63" t="s">
        <v>13</v>
      </c>
      <c r="C63">
        <v>22</v>
      </c>
      <c r="D63">
        <v>45</v>
      </c>
      <c r="E63">
        <v>81</v>
      </c>
      <c r="F63">
        <f>H63*4</f>
        <v>72</v>
      </c>
      <c r="G63">
        <f t="shared" si="0"/>
        <v>55</v>
      </c>
      <c r="H63">
        <v>18</v>
      </c>
      <c r="I63" t="str">
        <f t="shared" si="1"/>
        <v>D</v>
      </c>
    </row>
    <row r="64" spans="1:13" hidden="1" x14ac:dyDescent="0.35">
      <c r="A64" t="s">
        <v>71</v>
      </c>
      <c r="B64" t="s">
        <v>7</v>
      </c>
      <c r="C64">
        <v>35</v>
      </c>
      <c r="D64">
        <v>60</v>
      </c>
      <c r="E64">
        <v>57</v>
      </c>
      <c r="F64">
        <f>H64*4</f>
        <v>44</v>
      </c>
      <c r="G64">
        <f t="shared" si="0"/>
        <v>49</v>
      </c>
      <c r="H64">
        <v>11</v>
      </c>
      <c r="I64" t="str">
        <f t="shared" si="1"/>
        <v>E</v>
      </c>
    </row>
    <row r="65" spans="1:9" hidden="1" x14ac:dyDescent="0.35">
      <c r="A65" t="s">
        <v>72</v>
      </c>
      <c r="B65" t="s">
        <v>7</v>
      </c>
      <c r="C65">
        <v>30</v>
      </c>
      <c r="D65">
        <v>55</v>
      </c>
      <c r="E65">
        <v>66</v>
      </c>
      <c r="F65">
        <f>H65*4</f>
        <v>48</v>
      </c>
      <c r="G65">
        <f t="shared" si="0"/>
        <v>49.75</v>
      </c>
      <c r="H65">
        <v>12</v>
      </c>
      <c r="I65" t="str">
        <f t="shared" si="1"/>
        <v>E</v>
      </c>
    </row>
    <row r="66" spans="1:9" hidden="1" x14ac:dyDescent="0.35">
      <c r="A66" t="s">
        <v>73</v>
      </c>
      <c r="B66" t="s">
        <v>7</v>
      </c>
      <c r="C66">
        <v>31</v>
      </c>
      <c r="D66">
        <v>56</v>
      </c>
      <c r="E66">
        <v>47</v>
      </c>
      <c r="F66">
        <f>H66*4</f>
        <v>36</v>
      </c>
      <c r="G66">
        <f t="shared" si="0"/>
        <v>42.5</v>
      </c>
      <c r="H66">
        <v>9</v>
      </c>
      <c r="I66" t="str">
        <f t="shared" si="1"/>
        <v>E</v>
      </c>
    </row>
    <row r="67" spans="1:9" hidden="1" x14ac:dyDescent="0.35">
      <c r="A67" t="s">
        <v>74</v>
      </c>
      <c r="B67" t="s">
        <v>13</v>
      </c>
      <c r="C67">
        <v>29</v>
      </c>
      <c r="D67">
        <v>42</v>
      </c>
      <c r="E67">
        <v>55</v>
      </c>
      <c r="F67">
        <f>H67*4</f>
        <v>48</v>
      </c>
      <c r="G67">
        <f t="shared" ref="G67:G101" si="2">SUM(C67:F67)/4</f>
        <v>43.5</v>
      </c>
      <c r="H67">
        <v>12</v>
      </c>
      <c r="I67" t="str">
        <f t="shared" ref="I67:I101" si="3">IF(G67&gt;=90,"A",
   IF(G67&gt;=75,"B",
   IF(G67&gt;=60,"C",
   IF(G67&gt;=50,"D",
   IF(G67&gt;=35,"E","F")))))</f>
        <v>E</v>
      </c>
    </row>
    <row r="68" spans="1:9" hidden="1" x14ac:dyDescent="0.35">
      <c r="A68" t="s">
        <v>75</v>
      </c>
      <c r="B68" t="s">
        <v>9</v>
      </c>
      <c r="C68">
        <v>41</v>
      </c>
      <c r="D68">
        <v>43</v>
      </c>
      <c r="E68">
        <v>53</v>
      </c>
      <c r="F68">
        <f>H68*4</f>
        <v>72</v>
      </c>
      <c r="G68">
        <f t="shared" si="2"/>
        <v>52.25</v>
      </c>
      <c r="H68">
        <v>18</v>
      </c>
      <c r="I68" t="str">
        <f t="shared" si="3"/>
        <v>D</v>
      </c>
    </row>
    <row r="69" spans="1:9" hidden="1" x14ac:dyDescent="0.35">
      <c r="A69" t="s">
        <v>76</v>
      </c>
      <c r="B69" t="s">
        <v>7</v>
      </c>
      <c r="C69">
        <v>60</v>
      </c>
      <c r="D69">
        <v>64</v>
      </c>
      <c r="E69">
        <v>68</v>
      </c>
      <c r="F69">
        <f>H69*4</f>
        <v>64</v>
      </c>
      <c r="G69">
        <f t="shared" si="2"/>
        <v>64</v>
      </c>
      <c r="H69">
        <v>16</v>
      </c>
      <c r="I69" t="str">
        <f t="shared" si="3"/>
        <v>C</v>
      </c>
    </row>
    <row r="70" spans="1:9" hidden="1" x14ac:dyDescent="0.35">
      <c r="A70" t="s">
        <v>77</v>
      </c>
      <c r="B70" t="s">
        <v>13</v>
      </c>
      <c r="C70">
        <v>39</v>
      </c>
      <c r="D70">
        <v>58</v>
      </c>
      <c r="E70">
        <v>84</v>
      </c>
      <c r="F70">
        <f>H70*4</f>
        <v>76</v>
      </c>
      <c r="G70">
        <f t="shared" si="2"/>
        <v>64.25</v>
      </c>
      <c r="H70">
        <v>19</v>
      </c>
      <c r="I70" t="str">
        <f t="shared" si="3"/>
        <v>C</v>
      </c>
    </row>
    <row r="71" spans="1:9" hidden="1" x14ac:dyDescent="0.35">
      <c r="A71" t="s">
        <v>78</v>
      </c>
      <c r="B71" t="s">
        <v>7</v>
      </c>
      <c r="C71">
        <v>45</v>
      </c>
      <c r="D71">
        <v>64</v>
      </c>
      <c r="E71">
        <v>40</v>
      </c>
      <c r="F71">
        <f>H71*4</f>
        <v>56</v>
      </c>
      <c r="G71">
        <f t="shared" si="2"/>
        <v>51.25</v>
      </c>
      <c r="H71">
        <v>14</v>
      </c>
      <c r="I71" t="str">
        <f t="shared" si="3"/>
        <v>D</v>
      </c>
    </row>
    <row r="72" spans="1:9" hidden="1" x14ac:dyDescent="0.35">
      <c r="A72" t="s">
        <v>79</v>
      </c>
      <c r="B72" t="s">
        <v>13</v>
      </c>
      <c r="C72">
        <v>8</v>
      </c>
      <c r="D72">
        <v>18</v>
      </c>
      <c r="E72">
        <v>80</v>
      </c>
      <c r="F72">
        <f>H72*4</f>
        <v>40</v>
      </c>
      <c r="G72">
        <f t="shared" si="2"/>
        <v>36.5</v>
      </c>
      <c r="H72">
        <v>10</v>
      </c>
      <c r="I72" t="str">
        <f t="shared" si="3"/>
        <v>E</v>
      </c>
    </row>
    <row r="73" spans="1:9" hidden="1" x14ac:dyDescent="0.35">
      <c r="A73" t="s">
        <v>80</v>
      </c>
      <c r="B73" t="s">
        <v>9</v>
      </c>
      <c r="C73">
        <v>60</v>
      </c>
      <c r="D73">
        <v>76</v>
      </c>
      <c r="E73">
        <v>66</v>
      </c>
      <c r="F73">
        <f>H73*4</f>
        <v>44</v>
      </c>
      <c r="G73">
        <f t="shared" si="2"/>
        <v>61.5</v>
      </c>
      <c r="H73">
        <v>11</v>
      </c>
      <c r="I73" t="str">
        <f t="shared" si="3"/>
        <v>C</v>
      </c>
    </row>
    <row r="74" spans="1:9" hidden="1" x14ac:dyDescent="0.35">
      <c r="A74" t="s">
        <v>81</v>
      </c>
      <c r="B74" t="s">
        <v>7</v>
      </c>
      <c r="C74">
        <v>54</v>
      </c>
      <c r="D74">
        <v>86</v>
      </c>
      <c r="E74">
        <v>90</v>
      </c>
      <c r="F74">
        <f>H74*4</f>
        <v>84</v>
      </c>
      <c r="G74">
        <f t="shared" si="2"/>
        <v>78.5</v>
      </c>
      <c r="H74">
        <v>21</v>
      </c>
      <c r="I74" t="str">
        <f t="shared" si="3"/>
        <v>B</v>
      </c>
    </row>
    <row r="75" spans="1:9" hidden="1" x14ac:dyDescent="0.35">
      <c r="A75" t="s">
        <v>82</v>
      </c>
      <c r="B75" t="s">
        <v>7</v>
      </c>
      <c r="C75">
        <v>35</v>
      </c>
      <c r="D75">
        <v>74</v>
      </c>
      <c r="E75">
        <v>68</v>
      </c>
      <c r="F75">
        <f>H75*4</f>
        <v>64</v>
      </c>
      <c r="G75">
        <f t="shared" si="2"/>
        <v>60.25</v>
      </c>
      <c r="H75">
        <v>16</v>
      </c>
      <c r="I75" t="str">
        <f t="shared" si="3"/>
        <v>C</v>
      </c>
    </row>
    <row r="76" spans="1:9" hidden="1" x14ac:dyDescent="0.35">
      <c r="A76" t="s">
        <v>83</v>
      </c>
      <c r="B76" t="s">
        <v>13</v>
      </c>
      <c r="C76">
        <v>27</v>
      </c>
      <c r="D76">
        <v>51</v>
      </c>
      <c r="E76">
        <v>67</v>
      </c>
      <c r="F76">
        <f>H76*4</f>
        <v>48</v>
      </c>
      <c r="G76">
        <f t="shared" si="2"/>
        <v>48.25</v>
      </c>
      <c r="H76">
        <v>12</v>
      </c>
      <c r="I76" t="str">
        <f t="shared" si="3"/>
        <v>E</v>
      </c>
    </row>
    <row r="77" spans="1:9" hidden="1" x14ac:dyDescent="0.35">
      <c r="A77" t="s">
        <v>84</v>
      </c>
      <c r="B77" t="s">
        <v>7</v>
      </c>
      <c r="C77">
        <v>91</v>
      </c>
      <c r="D77">
        <v>53</v>
      </c>
      <c r="E77">
        <v>35</v>
      </c>
      <c r="F77">
        <f>H77*4</f>
        <v>72</v>
      </c>
      <c r="G77">
        <f t="shared" si="2"/>
        <v>62.75</v>
      </c>
      <c r="H77">
        <v>18</v>
      </c>
      <c r="I77" t="str">
        <f t="shared" si="3"/>
        <v>C</v>
      </c>
    </row>
    <row r="78" spans="1:9" hidden="1" x14ac:dyDescent="0.35">
      <c r="A78" t="s">
        <v>85</v>
      </c>
      <c r="B78" t="s">
        <v>7</v>
      </c>
      <c r="C78">
        <v>26</v>
      </c>
      <c r="D78">
        <v>42</v>
      </c>
      <c r="E78">
        <v>60</v>
      </c>
      <c r="F78">
        <f>H78*4</f>
        <v>64</v>
      </c>
      <c r="G78">
        <f t="shared" si="2"/>
        <v>48</v>
      </c>
      <c r="H78">
        <v>16</v>
      </c>
      <c r="I78" t="str">
        <f t="shared" si="3"/>
        <v>E</v>
      </c>
    </row>
    <row r="79" spans="1:9" hidden="1" x14ac:dyDescent="0.35">
      <c r="A79" t="s">
        <v>86</v>
      </c>
      <c r="B79" t="s">
        <v>7</v>
      </c>
      <c r="C79">
        <v>30</v>
      </c>
      <c r="D79">
        <v>79</v>
      </c>
      <c r="E79">
        <v>67</v>
      </c>
      <c r="F79">
        <f>H79*4</f>
        <v>72</v>
      </c>
      <c r="G79">
        <f t="shared" si="2"/>
        <v>62</v>
      </c>
      <c r="H79">
        <v>18</v>
      </c>
      <c r="I79" t="str">
        <f t="shared" si="3"/>
        <v>C</v>
      </c>
    </row>
    <row r="80" spans="1:9" hidden="1" x14ac:dyDescent="0.35">
      <c r="A80" t="s">
        <v>87</v>
      </c>
      <c r="B80" t="s">
        <v>13</v>
      </c>
      <c r="C80">
        <v>83</v>
      </c>
      <c r="D80">
        <v>52</v>
      </c>
      <c r="E80">
        <v>43</v>
      </c>
      <c r="F80">
        <f>H80*4</f>
        <v>76</v>
      </c>
      <c r="G80">
        <f t="shared" si="2"/>
        <v>63.5</v>
      </c>
      <c r="H80">
        <v>19</v>
      </c>
      <c r="I80" t="str">
        <f t="shared" si="3"/>
        <v>C</v>
      </c>
    </row>
    <row r="81" spans="1:9" hidden="1" x14ac:dyDescent="0.35">
      <c r="A81" t="s">
        <v>88</v>
      </c>
      <c r="B81" t="s">
        <v>9</v>
      </c>
      <c r="C81">
        <v>26</v>
      </c>
      <c r="D81">
        <v>83</v>
      </c>
      <c r="E81">
        <v>74</v>
      </c>
      <c r="F81">
        <f>H81*4</f>
        <v>32</v>
      </c>
      <c r="G81">
        <f t="shared" si="2"/>
        <v>53.75</v>
      </c>
      <c r="H81">
        <v>8</v>
      </c>
      <c r="I81" t="str">
        <f t="shared" si="3"/>
        <v>D</v>
      </c>
    </row>
    <row r="82" spans="1:9" hidden="1" x14ac:dyDescent="0.35">
      <c r="A82" t="s">
        <v>89</v>
      </c>
      <c r="B82" t="s">
        <v>7</v>
      </c>
      <c r="C82">
        <v>38</v>
      </c>
      <c r="D82">
        <v>54</v>
      </c>
      <c r="E82">
        <v>44</v>
      </c>
      <c r="F82">
        <f>H82*4</f>
        <v>52</v>
      </c>
      <c r="G82">
        <f t="shared" si="2"/>
        <v>47</v>
      </c>
      <c r="H82">
        <v>13</v>
      </c>
      <c r="I82" t="str">
        <f t="shared" si="3"/>
        <v>E</v>
      </c>
    </row>
    <row r="83" spans="1:9" hidden="1" x14ac:dyDescent="0.35">
      <c r="A83" t="s">
        <v>90</v>
      </c>
      <c r="B83" t="s">
        <v>9</v>
      </c>
      <c r="C83">
        <v>51</v>
      </c>
      <c r="D83">
        <v>17</v>
      </c>
      <c r="E83">
        <v>66</v>
      </c>
      <c r="F83">
        <f>H83*4</f>
        <v>64</v>
      </c>
      <c r="G83">
        <f t="shared" si="2"/>
        <v>49.5</v>
      </c>
      <c r="H83">
        <v>16</v>
      </c>
      <c r="I83" t="str">
        <f t="shared" si="3"/>
        <v>E</v>
      </c>
    </row>
    <row r="84" spans="1:9" hidden="1" x14ac:dyDescent="0.35">
      <c r="A84" t="s">
        <v>91</v>
      </c>
      <c r="B84" t="s">
        <v>7</v>
      </c>
      <c r="C84">
        <v>33</v>
      </c>
      <c r="D84">
        <v>66</v>
      </c>
      <c r="E84">
        <v>77</v>
      </c>
      <c r="F84">
        <f>H84*4</f>
        <v>32</v>
      </c>
      <c r="G84">
        <f t="shared" si="2"/>
        <v>52</v>
      </c>
      <c r="H84">
        <v>8</v>
      </c>
      <c r="I84" t="str">
        <f t="shared" si="3"/>
        <v>D</v>
      </c>
    </row>
    <row r="85" spans="1:9" hidden="1" x14ac:dyDescent="0.35">
      <c r="A85" t="s">
        <v>92</v>
      </c>
      <c r="B85" t="s">
        <v>13</v>
      </c>
      <c r="C85">
        <v>57</v>
      </c>
      <c r="D85">
        <v>93</v>
      </c>
      <c r="E85">
        <v>58</v>
      </c>
      <c r="F85">
        <f>H85*4</f>
        <v>84</v>
      </c>
      <c r="G85">
        <f t="shared" si="2"/>
        <v>73</v>
      </c>
      <c r="H85">
        <v>21</v>
      </c>
      <c r="I85" t="str">
        <f t="shared" si="3"/>
        <v>C</v>
      </c>
    </row>
    <row r="86" spans="1:9" hidden="1" x14ac:dyDescent="0.35">
      <c r="A86" t="s">
        <v>93</v>
      </c>
      <c r="B86" t="s">
        <v>7</v>
      </c>
      <c r="C86">
        <v>40</v>
      </c>
      <c r="D86">
        <v>50</v>
      </c>
      <c r="E86">
        <v>75</v>
      </c>
      <c r="F86">
        <f>H86*4</f>
        <v>60</v>
      </c>
      <c r="G86">
        <f t="shared" si="2"/>
        <v>56.25</v>
      </c>
      <c r="H86">
        <v>15</v>
      </c>
      <c r="I86" t="str">
        <f t="shared" si="3"/>
        <v>D</v>
      </c>
    </row>
    <row r="87" spans="1:9" hidden="1" x14ac:dyDescent="0.35">
      <c r="A87" t="s">
        <v>94</v>
      </c>
      <c r="B87" t="s">
        <v>9</v>
      </c>
      <c r="C87">
        <v>90</v>
      </c>
      <c r="D87">
        <v>47</v>
      </c>
      <c r="E87">
        <v>55</v>
      </c>
      <c r="F87">
        <f>H87*4</f>
        <v>16</v>
      </c>
      <c r="G87">
        <f t="shared" si="2"/>
        <v>52</v>
      </c>
      <c r="H87">
        <v>4</v>
      </c>
      <c r="I87" t="str">
        <f t="shared" si="3"/>
        <v>D</v>
      </c>
    </row>
    <row r="88" spans="1:9" hidden="1" x14ac:dyDescent="0.35">
      <c r="A88" t="s">
        <v>95</v>
      </c>
      <c r="B88" t="s">
        <v>7</v>
      </c>
      <c r="C88">
        <v>16</v>
      </c>
      <c r="D88">
        <v>33</v>
      </c>
      <c r="E88">
        <v>58</v>
      </c>
      <c r="F88">
        <f>H88*4</f>
        <v>60</v>
      </c>
      <c r="G88">
        <f t="shared" si="2"/>
        <v>41.75</v>
      </c>
      <c r="H88">
        <v>15</v>
      </c>
      <c r="I88" t="str">
        <f t="shared" si="3"/>
        <v>E</v>
      </c>
    </row>
    <row r="89" spans="1:9" hidden="1" x14ac:dyDescent="0.35">
      <c r="A89" t="s">
        <v>96</v>
      </c>
      <c r="B89" t="s">
        <v>9</v>
      </c>
      <c r="C89">
        <v>41</v>
      </c>
      <c r="D89">
        <v>61</v>
      </c>
      <c r="E89">
        <v>83</v>
      </c>
      <c r="F89">
        <f>H89*4</f>
        <v>84</v>
      </c>
      <c r="G89">
        <f t="shared" si="2"/>
        <v>67.25</v>
      </c>
      <c r="H89">
        <v>21</v>
      </c>
      <c r="I89" t="str">
        <f t="shared" si="3"/>
        <v>C</v>
      </c>
    </row>
    <row r="90" spans="1:9" hidden="1" x14ac:dyDescent="0.35">
      <c r="A90" t="s">
        <v>97</v>
      </c>
      <c r="B90" t="s">
        <v>7</v>
      </c>
      <c r="C90">
        <v>46</v>
      </c>
      <c r="D90">
        <v>52</v>
      </c>
      <c r="E90">
        <v>48</v>
      </c>
      <c r="F90">
        <f>H90*4</f>
        <v>88</v>
      </c>
      <c r="G90">
        <f t="shared" si="2"/>
        <v>58.5</v>
      </c>
      <c r="H90">
        <v>22</v>
      </c>
      <c r="I90" t="str">
        <f t="shared" si="3"/>
        <v>D</v>
      </c>
    </row>
    <row r="91" spans="1:9" hidden="1" x14ac:dyDescent="0.35">
      <c r="A91" t="s">
        <v>98</v>
      </c>
      <c r="B91" t="s">
        <v>9</v>
      </c>
      <c r="C91">
        <v>16</v>
      </c>
      <c r="D91">
        <v>58</v>
      </c>
      <c r="E91">
        <v>39</v>
      </c>
      <c r="F91">
        <f>H91*4</f>
        <v>68</v>
      </c>
      <c r="G91">
        <f t="shared" si="2"/>
        <v>45.25</v>
      </c>
      <c r="H91">
        <v>17</v>
      </c>
      <c r="I91" t="str">
        <f t="shared" si="3"/>
        <v>E</v>
      </c>
    </row>
    <row r="92" spans="1:9" hidden="1" x14ac:dyDescent="0.35">
      <c r="A92" t="s">
        <v>99</v>
      </c>
      <c r="B92" t="s">
        <v>13</v>
      </c>
      <c r="C92">
        <v>20</v>
      </c>
      <c r="D92">
        <v>52</v>
      </c>
      <c r="E92">
        <v>64</v>
      </c>
      <c r="F92">
        <f>H92*4</f>
        <v>60</v>
      </c>
      <c r="G92">
        <f t="shared" si="2"/>
        <v>49</v>
      </c>
      <c r="H92">
        <v>15</v>
      </c>
      <c r="I92" t="str">
        <f t="shared" si="3"/>
        <v>E</v>
      </c>
    </row>
    <row r="93" spans="1:9" hidden="1" x14ac:dyDescent="0.35">
      <c r="A93" t="s">
        <v>100</v>
      </c>
      <c r="B93" t="s">
        <v>7</v>
      </c>
      <c r="C93">
        <v>29</v>
      </c>
      <c r="D93">
        <v>75</v>
      </c>
      <c r="E93">
        <v>96</v>
      </c>
      <c r="F93">
        <f>H93*4</f>
        <v>56</v>
      </c>
      <c r="G93">
        <f t="shared" si="2"/>
        <v>64</v>
      </c>
      <c r="H93">
        <v>14</v>
      </c>
      <c r="I93" t="str">
        <f t="shared" si="3"/>
        <v>C</v>
      </c>
    </row>
    <row r="94" spans="1:9" hidden="1" x14ac:dyDescent="0.35">
      <c r="A94" t="s">
        <v>101</v>
      </c>
      <c r="B94" t="s">
        <v>7</v>
      </c>
      <c r="C94">
        <v>37</v>
      </c>
      <c r="D94">
        <v>44</v>
      </c>
      <c r="E94">
        <v>38</v>
      </c>
      <c r="F94">
        <f>H94*4</f>
        <v>64</v>
      </c>
      <c r="G94">
        <f t="shared" si="2"/>
        <v>45.75</v>
      </c>
      <c r="H94">
        <v>16</v>
      </c>
      <c r="I94" t="str">
        <f t="shared" si="3"/>
        <v>E</v>
      </c>
    </row>
    <row r="95" spans="1:9" hidden="1" x14ac:dyDescent="0.35">
      <c r="A95" t="s">
        <v>102</v>
      </c>
      <c r="B95" t="s">
        <v>7</v>
      </c>
      <c r="C95">
        <v>25</v>
      </c>
      <c r="D95">
        <v>42</v>
      </c>
      <c r="E95">
        <v>58</v>
      </c>
      <c r="F95">
        <f>H95*4</f>
        <v>76</v>
      </c>
      <c r="G95">
        <f t="shared" si="2"/>
        <v>50.25</v>
      </c>
      <c r="H95">
        <v>19</v>
      </c>
      <c r="I95" t="str">
        <f t="shared" si="3"/>
        <v>D</v>
      </c>
    </row>
    <row r="96" spans="1:9" hidden="1" x14ac:dyDescent="0.35">
      <c r="A96" t="s">
        <v>103</v>
      </c>
      <c r="B96" t="s">
        <v>13</v>
      </c>
      <c r="C96">
        <v>51</v>
      </c>
      <c r="D96">
        <v>50</v>
      </c>
      <c r="E96">
        <v>55</v>
      </c>
      <c r="F96">
        <f>H96*4</f>
        <v>40</v>
      </c>
      <c r="G96">
        <f t="shared" si="2"/>
        <v>49</v>
      </c>
      <c r="H96">
        <v>10</v>
      </c>
      <c r="I96" t="str">
        <f t="shared" si="3"/>
        <v>E</v>
      </c>
    </row>
    <row r="97" spans="1:9" hidden="1" x14ac:dyDescent="0.35">
      <c r="A97" t="s">
        <v>104</v>
      </c>
      <c r="B97" t="s">
        <v>7</v>
      </c>
      <c r="C97">
        <v>38</v>
      </c>
      <c r="D97">
        <v>52</v>
      </c>
      <c r="E97">
        <v>65</v>
      </c>
      <c r="F97">
        <f>H97*4</f>
        <v>88</v>
      </c>
      <c r="G97">
        <f t="shared" si="2"/>
        <v>60.75</v>
      </c>
      <c r="H97">
        <v>22</v>
      </c>
      <c r="I97" t="str">
        <f t="shared" si="3"/>
        <v>C</v>
      </c>
    </row>
    <row r="98" spans="1:9" hidden="1" x14ac:dyDescent="0.35">
      <c r="A98" t="s">
        <v>105</v>
      </c>
      <c r="B98" t="s">
        <v>9</v>
      </c>
      <c r="C98">
        <v>27</v>
      </c>
      <c r="D98">
        <v>47</v>
      </c>
      <c r="E98">
        <v>75</v>
      </c>
      <c r="F98">
        <f>H98*4</f>
        <v>68</v>
      </c>
      <c r="G98">
        <f t="shared" si="2"/>
        <v>54.25</v>
      </c>
      <c r="H98">
        <v>17</v>
      </c>
      <c r="I98" t="str">
        <f t="shared" si="3"/>
        <v>D</v>
      </c>
    </row>
    <row r="99" spans="1:9" x14ac:dyDescent="0.35">
      <c r="A99" t="s">
        <v>106</v>
      </c>
      <c r="B99" t="s">
        <v>13</v>
      </c>
      <c r="C99">
        <v>24</v>
      </c>
      <c r="D99">
        <v>77</v>
      </c>
      <c r="E99">
        <v>83</v>
      </c>
      <c r="F99">
        <f>H99*4</f>
        <v>40</v>
      </c>
      <c r="G99">
        <f t="shared" si="2"/>
        <v>56</v>
      </c>
      <c r="H99">
        <v>10</v>
      </c>
      <c r="I99" t="str">
        <f t="shared" si="3"/>
        <v>D</v>
      </c>
    </row>
    <row r="100" spans="1:9" hidden="1" x14ac:dyDescent="0.35">
      <c r="A100" t="s">
        <v>107</v>
      </c>
      <c r="B100" t="s">
        <v>7</v>
      </c>
      <c r="C100">
        <v>8</v>
      </c>
      <c r="D100">
        <v>65</v>
      </c>
      <c r="E100">
        <v>73</v>
      </c>
      <c r="F100">
        <f>H100*4</f>
        <v>52</v>
      </c>
      <c r="G100">
        <f t="shared" si="2"/>
        <v>49.5</v>
      </c>
      <c r="H100">
        <v>13</v>
      </c>
      <c r="I100" t="str">
        <f t="shared" si="3"/>
        <v>E</v>
      </c>
    </row>
    <row r="101" spans="1:9" hidden="1" x14ac:dyDescent="0.35">
      <c r="A101" t="s">
        <v>108</v>
      </c>
      <c r="B101" t="s">
        <v>7</v>
      </c>
      <c r="C101">
        <v>17</v>
      </c>
      <c r="D101">
        <v>42</v>
      </c>
      <c r="E101">
        <v>65</v>
      </c>
      <c r="F101">
        <f>H101*4</f>
        <v>32</v>
      </c>
      <c r="G101">
        <f t="shared" si="2"/>
        <v>39</v>
      </c>
      <c r="H101">
        <v>8</v>
      </c>
      <c r="I101" t="str">
        <f t="shared" si="3"/>
        <v>E</v>
      </c>
    </row>
    <row r="104" spans="1:9" x14ac:dyDescent="0.35">
      <c r="A104" t="s">
        <v>132</v>
      </c>
      <c r="E104">
        <f>AVERAGE(E2:E101)</f>
        <v>59.34</v>
      </c>
      <c r="F104">
        <f>AVERAGE(F2:F101)</f>
        <v>59.48</v>
      </c>
    </row>
  </sheetData>
  <autoFilter ref="A1:I101" xr:uid="{00000000-0001-0000-0000-000000000000}">
    <filterColumn colId="1">
      <filters>
        <filter val="MECH"/>
      </filters>
    </filterColumn>
    <filterColumn colId="8">
      <filters>
        <filter val="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7"/>
    </sheetView>
  </sheetViews>
  <sheetFormatPr defaultRowHeight="14.5" x14ac:dyDescent="0.35"/>
  <cols>
    <col min="1" max="1" width="5.90625" bestFit="1" customWidth="1"/>
    <col min="2" max="2" width="16" bestFit="1" customWidth="1"/>
  </cols>
  <sheetData>
    <row r="1" spans="1:2" x14ac:dyDescent="0.35">
      <c r="A1" s="1" t="s">
        <v>109</v>
      </c>
      <c r="B1" s="1" t="s">
        <v>110</v>
      </c>
    </row>
    <row r="2" spans="1:2" x14ac:dyDescent="0.35">
      <c r="A2" t="s">
        <v>111</v>
      </c>
      <c r="B2" t="s">
        <v>112</v>
      </c>
    </row>
    <row r="3" spans="1:2" x14ac:dyDescent="0.35">
      <c r="A3" t="s">
        <v>113</v>
      </c>
      <c r="B3" t="s">
        <v>114</v>
      </c>
    </row>
    <row r="4" spans="1:2" x14ac:dyDescent="0.35">
      <c r="A4" t="s">
        <v>115</v>
      </c>
      <c r="B4" t="s">
        <v>116</v>
      </c>
    </row>
    <row r="5" spans="1:2" x14ac:dyDescent="0.35">
      <c r="A5" t="s">
        <v>117</v>
      </c>
      <c r="B5" t="s">
        <v>118</v>
      </c>
    </row>
    <row r="6" spans="1:2" x14ac:dyDescent="0.35">
      <c r="A6" t="s">
        <v>119</v>
      </c>
      <c r="B6" t="s">
        <v>120</v>
      </c>
    </row>
    <row r="7" spans="1:2" x14ac:dyDescent="0.35">
      <c r="A7" t="s">
        <v>121</v>
      </c>
      <c r="B7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2E80-A09F-4942-A6CF-7D54B2880EC4}">
  <dimension ref="B3:C7"/>
  <sheetViews>
    <sheetView workbookViewId="0">
      <selection activeCell="G11" sqref="G11"/>
    </sheetView>
  </sheetViews>
  <sheetFormatPr defaultRowHeight="14.5" x14ac:dyDescent="0.35"/>
  <cols>
    <col min="2" max="2" width="14.26953125" bestFit="1" customWidth="1"/>
  </cols>
  <sheetData>
    <row r="3" spans="2:3" x14ac:dyDescent="0.35">
      <c r="B3" s="2" t="s">
        <v>126</v>
      </c>
      <c r="C3" s="2" t="s">
        <v>127</v>
      </c>
    </row>
    <row r="4" spans="2:3" x14ac:dyDescent="0.35">
      <c r="B4" t="s">
        <v>128</v>
      </c>
      <c r="C4" s="4">
        <f>MAX(Sheet1!C2:C101)</f>
        <v>91</v>
      </c>
    </row>
    <row r="5" spans="2:3" x14ac:dyDescent="0.35">
      <c r="B5" t="s">
        <v>123</v>
      </c>
      <c r="C5" s="3">
        <f>MIN(Sheet1!D2:D101)</f>
        <v>1</v>
      </c>
    </row>
    <row r="6" spans="2:3" x14ac:dyDescent="0.35">
      <c r="B6" t="s">
        <v>124</v>
      </c>
      <c r="C6" s="5">
        <f>AVERAGE(Sheet1!E2:E101)</f>
        <v>59.34</v>
      </c>
    </row>
    <row r="7" spans="2:3" x14ac:dyDescent="0.35">
      <c r="B7" t="s">
        <v>125</v>
      </c>
      <c r="C7" s="3">
        <f>AVERAGE(Sheet1!H2:H101)</f>
        <v>14.87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24f3004421@ds.study.iitm.ac.in</cp:lastModifiedBy>
  <dcterms:created xsi:type="dcterms:W3CDTF">2023-09-22T09:55:09Z</dcterms:created>
  <dcterms:modified xsi:type="dcterms:W3CDTF">2025-11-02T08:07:55Z</dcterms:modified>
</cp:coreProperties>
</file>