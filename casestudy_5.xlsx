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EED38A23-27C6-4C61-B980-A74762EA46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1" sheetId="1" r:id="rId1"/>
  </sheets>
  <definedNames>
    <definedName name="_xlnm._FilterDatabase" localSheetId="0" hidden="1">'D1'!$A$1:$O$11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" i="1" l="1"/>
  <c r="AE3" i="1"/>
  <c r="AE4" i="1"/>
  <c r="AE5" i="1"/>
  <c r="AE6" i="1"/>
  <c r="AE7" i="1"/>
  <c r="AE8" i="1"/>
  <c r="AE9" i="1"/>
  <c r="AE10" i="1"/>
  <c r="AE11" i="1"/>
  <c r="AE2" i="1"/>
  <c r="V3" i="1"/>
  <c r="V4" i="1"/>
  <c r="V5" i="1"/>
  <c r="V6" i="1"/>
  <c r="V7" i="1"/>
  <c r="V8" i="1"/>
  <c r="V9" i="1"/>
  <c r="V10" i="1"/>
  <c r="V11" i="1"/>
  <c r="V2" i="1"/>
  <c r="U3" i="1"/>
  <c r="U4" i="1"/>
  <c r="U5" i="1"/>
  <c r="U6" i="1"/>
  <c r="U7" i="1"/>
  <c r="U8" i="1"/>
  <c r="U9" i="1"/>
  <c r="U10" i="1"/>
  <c r="U11" i="1"/>
  <c r="U2" i="1"/>
  <c r="Q2" i="1"/>
  <c r="Q3" i="1"/>
  <c r="Q4" i="1"/>
  <c r="Q5" i="1"/>
  <c r="Q6" i="1"/>
  <c r="Q7" i="1"/>
  <c r="Q8" i="1"/>
  <c r="Q9" i="1"/>
  <c r="Q10" i="1"/>
  <c r="Q11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2" i="1"/>
  <c r="L2" i="1" s="1"/>
  <c r="O3" i="1"/>
  <c r="O4" i="1"/>
  <c r="O5" i="1"/>
  <c r="O6" i="1"/>
  <c r="O7" i="1"/>
  <c r="O8" i="1"/>
  <c r="O9" i="1"/>
  <c r="O10" i="1"/>
  <c r="O11" i="1"/>
  <c r="O2" i="1"/>
  <c r="M3" i="1"/>
  <c r="M4" i="1"/>
  <c r="M5" i="1"/>
  <c r="M6" i="1"/>
  <c r="M7" i="1"/>
  <c r="M8" i="1"/>
  <c r="M9" i="1"/>
  <c r="M10" i="1"/>
  <c r="M11" i="1"/>
  <c r="M2" i="1"/>
  <c r="N3" i="1"/>
  <c r="N4" i="1"/>
  <c r="N5" i="1"/>
  <c r="N6" i="1"/>
  <c r="N7" i="1"/>
  <c r="N8" i="1"/>
  <c r="N9" i="1"/>
  <c r="N10" i="1"/>
  <c r="N11" i="1"/>
  <c r="N2" i="1"/>
  <c r="S2" i="1" s="1"/>
  <c r="R11" i="1" l="1"/>
  <c r="T9" i="1"/>
  <c r="R10" i="1"/>
  <c r="S11" i="1"/>
  <c r="T8" i="1"/>
  <c r="R9" i="1"/>
  <c r="T7" i="1"/>
  <c r="S10" i="1"/>
  <c r="Z10" i="1" s="1"/>
  <c r="R8" i="1"/>
  <c r="T6" i="1"/>
  <c r="S9" i="1"/>
  <c r="R7" i="1"/>
  <c r="S8" i="1"/>
  <c r="R6" i="1"/>
  <c r="S7" i="1"/>
  <c r="R5" i="1"/>
  <c r="T5" i="1"/>
  <c r="S6" i="1"/>
  <c r="R4" i="1"/>
  <c r="W2" i="1"/>
  <c r="S5" i="1"/>
  <c r="Z5" i="1" s="1"/>
  <c r="R3" i="1"/>
  <c r="T2" i="1"/>
  <c r="T11" i="1"/>
  <c r="Y11" i="1" s="1"/>
  <c r="R2" i="1"/>
  <c r="T10" i="1"/>
  <c r="W11" i="1"/>
  <c r="T4" i="1"/>
  <c r="W10" i="1"/>
  <c r="S4" i="1"/>
  <c r="T3" i="1"/>
  <c r="W9" i="1"/>
  <c r="S3" i="1"/>
  <c r="W8" i="1"/>
  <c r="W7" i="1"/>
  <c r="W6" i="1"/>
  <c r="W5" i="1"/>
  <c r="W4" i="1"/>
  <c r="W3" i="1"/>
  <c r="Y8" i="1" l="1"/>
  <c r="Z6" i="1"/>
  <c r="Y10" i="1"/>
  <c r="Z4" i="1"/>
  <c r="Z11" i="1"/>
  <c r="Y5" i="1"/>
  <c r="Y2" i="1"/>
  <c r="Z8" i="1"/>
  <c r="Z2" i="1"/>
  <c r="Y6" i="1"/>
  <c r="Z7" i="1"/>
  <c r="Y3" i="1"/>
  <c r="Y9" i="1"/>
  <c r="Y4" i="1"/>
  <c r="Z3" i="1"/>
  <c r="Z9" i="1"/>
  <c r="Y7" i="1"/>
  <c r="AC4" i="1" l="1"/>
  <c r="AB7" i="1"/>
  <c r="AC10" i="1"/>
  <c r="AC9" i="1"/>
  <c r="AB8" i="1"/>
  <c r="AC3" i="1"/>
  <c r="AC11" i="1"/>
  <c r="AC8" i="1"/>
  <c r="AC2" i="1"/>
  <c r="AB9" i="1"/>
  <c r="AB2" i="1"/>
  <c r="AB3" i="1"/>
  <c r="AC6" i="1"/>
  <c r="AC7" i="1"/>
  <c r="AB11" i="1"/>
  <c r="AB6" i="1"/>
  <c r="AC5" i="1"/>
  <c r="AB5" i="1"/>
  <c r="AB10" i="1"/>
  <c r="AB4" i="1"/>
</calcChain>
</file>

<file path=xl/sharedStrings.xml><?xml version="1.0" encoding="utf-8"?>
<sst xmlns="http://schemas.openxmlformats.org/spreadsheetml/2006/main" count="56" uniqueCount="56">
  <si>
    <t>Employee name</t>
  </si>
  <si>
    <t>Year of experience</t>
  </si>
  <si>
    <t>Appraisal 1</t>
  </si>
  <si>
    <t>Appraisal 2</t>
  </si>
  <si>
    <t>Appraisal 3</t>
  </si>
  <si>
    <t>Skills</t>
  </si>
  <si>
    <t>Key projects</t>
  </si>
  <si>
    <t>Duration in the current role</t>
  </si>
  <si>
    <t>Bench duration</t>
  </si>
  <si>
    <t>When the candidate will be available</t>
  </si>
  <si>
    <t>Abhijit</t>
  </si>
  <si>
    <t>JAVA,C++/C#,C,PYTHON</t>
  </si>
  <si>
    <t>Vessel planning,Vision+,SVO</t>
  </si>
  <si>
    <t>Lavanya</t>
  </si>
  <si>
    <t>PYTHON,C,JAVA</t>
  </si>
  <si>
    <t>Vessel planning,WFO,Vega</t>
  </si>
  <si>
    <t>Siva</t>
  </si>
  <si>
    <t>JAVA,PYTHON,R,C</t>
  </si>
  <si>
    <t>Vega,Optilink</t>
  </si>
  <si>
    <t>Akanksha</t>
  </si>
  <si>
    <t>R,C++/C#</t>
  </si>
  <si>
    <t>Optilink,SVO,Vessel planning,Shipping scheduling</t>
  </si>
  <si>
    <t>Sazid</t>
  </si>
  <si>
    <t>R,TABLEU,JAVA</t>
  </si>
  <si>
    <t>WFO,Daffodil,CRM</t>
  </si>
  <si>
    <t>Anuj</t>
  </si>
  <si>
    <t>C,PYTHON,C++/C#</t>
  </si>
  <si>
    <t>Vessel planning,WFO</t>
  </si>
  <si>
    <t>Praveen</t>
  </si>
  <si>
    <t>TABLEU,C,JAVA,PYTHON</t>
  </si>
  <si>
    <t>CRM,Churn,Vega</t>
  </si>
  <si>
    <t>Esha</t>
  </si>
  <si>
    <t>PYTHON,C++/C#,TABLEU</t>
  </si>
  <si>
    <t>Vessel planning,SVO,Vega,Vision+</t>
  </si>
  <si>
    <t>Nanda</t>
  </si>
  <si>
    <t>R,C,C++/C#,PYTHON</t>
  </si>
  <si>
    <t>Vision+,SVO</t>
  </si>
  <si>
    <t>Shalini</t>
  </si>
  <si>
    <t>C++/C#,TABLEU,JAVA,PYTHON</t>
  </si>
  <si>
    <t>Optilink,Churn project</t>
  </si>
  <si>
    <t>Appraisal History</t>
  </si>
  <si>
    <t>Count Skills</t>
  </si>
  <si>
    <t>Count Key Projects</t>
  </si>
  <si>
    <t>days</t>
  </si>
  <si>
    <t>nor_exp</t>
  </si>
  <si>
    <t>nor_apr</t>
  </si>
  <si>
    <t>nor_sc</t>
  </si>
  <si>
    <t>nor_prc</t>
  </si>
  <si>
    <t>nor_role</t>
  </si>
  <si>
    <t>nor_bench</t>
  </si>
  <si>
    <t>nor_days</t>
  </si>
  <si>
    <t>method-1</t>
  </si>
  <si>
    <t>method-2</t>
  </si>
  <si>
    <t>rank1</t>
  </si>
  <si>
    <t>rank-2</t>
  </si>
  <si>
    <t>same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</si>
</sst>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workbookViewId="0">
      <selection activeCell="AE13" sqref="AE13"/>
    </sheetView>
  </sheetViews>
  <sheetFormatPr defaultRowHeight="14.5" x14ac:dyDescent="0.35"/>
  <cols>
    <col min="1" max="1" width="14.26953125" bestFit="1" customWidth="1"/>
    <col min="2" max="2" width="16.36328125" bestFit="1" customWidth="1"/>
    <col min="3" max="5" width="10.08984375" bestFit="1" customWidth="1"/>
    <col min="6" max="6" width="25.90625" bestFit="1" customWidth="1"/>
    <col min="7" max="7" width="41.90625" bestFit="1" customWidth="1"/>
    <col min="8" max="8" width="23.90625" bestFit="1" customWidth="1"/>
    <col min="9" max="9" width="13.6328125" bestFit="1" customWidth="1"/>
    <col min="10" max="10" width="31.7265625" style="1" bestFit="1" customWidth="1"/>
    <col min="11" max="11" width="10.08984375" bestFit="1" customWidth="1"/>
    <col min="13" max="13" width="15.08984375" bestFit="1" customWidth="1"/>
    <col min="14" max="14" width="10.26953125" bestFit="1" customWidth="1"/>
    <col min="15" max="15" width="16.26953125" bestFit="1" customWidth="1"/>
    <col min="22" max="22" width="9.8164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L1" t="s">
        <v>43</v>
      </c>
      <c r="M1" t="s">
        <v>40</v>
      </c>
      <c r="N1" t="s">
        <v>41</v>
      </c>
      <c r="O1" t="s">
        <v>42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Y1" t="s">
        <v>51</v>
      </c>
      <c r="Z1" t="s">
        <v>52</v>
      </c>
      <c r="AB1" t="s">
        <v>53</v>
      </c>
      <c r="AC1" t="s">
        <v>54</v>
      </c>
      <c r="AE1" t="s">
        <v>55</v>
      </c>
    </row>
    <row r="2" spans="1:31" x14ac:dyDescent="0.35">
      <c r="A2" t="s">
        <v>10</v>
      </c>
      <c r="B2">
        <v>7.5</v>
      </c>
      <c r="C2">
        <v>0.85</v>
      </c>
      <c r="D2">
        <v>0.8</v>
      </c>
      <c r="E2">
        <v>0.7</v>
      </c>
      <c r="F2" t="s">
        <v>11</v>
      </c>
      <c r="G2" t="s">
        <v>12</v>
      </c>
      <c r="H2">
        <v>3</v>
      </c>
      <c r="I2">
        <v>0.5</v>
      </c>
      <c r="J2" s="1">
        <v>45533</v>
      </c>
      <c r="K2" s="1">
        <f>DATE(2024,7,1)</f>
        <v>45474</v>
      </c>
      <c r="L2">
        <f>J2-K2</f>
        <v>59</v>
      </c>
      <c r="M2">
        <f>ROUND(AVERAGEIF(C2:E2, "&gt;0.7"),2)</f>
        <v>0.83</v>
      </c>
      <c r="N2">
        <f>LEN(F2)-LEN(SUBSTITUTE(F2,",",""))+1</f>
        <v>4</v>
      </c>
      <c r="O2">
        <f>LEN(G2)-LEN(SUBSTITUTE(G2,",",""))+1</f>
        <v>3</v>
      </c>
      <c r="Q2">
        <f>ROUND((B2 - MIN($B$2:$B$11)) / (MAX($B$2:$B$11) - MIN($B$2:$B$11)),2)</f>
        <v>1</v>
      </c>
      <c r="R2">
        <f>ROUND((M2 - MIN($M$2:$M$11)) / (MAX($M$2:$M$11) - MIN($M$2:$M$11)),2)</f>
        <v>0.23</v>
      </c>
      <c r="S2">
        <f>ROUND((N2 - MIN($N$2:$N$11)) / (MAX($N$2:$N$11) - MIN($N$2:$N$11)),2)</f>
        <v>1</v>
      </c>
      <c r="T2">
        <f>ROUND((O2 - MIN($O$2:$O$11)) / (MAX($O$2:$O$11) - MIN($O$2:$O$11)),2)</f>
        <v>0.5</v>
      </c>
      <c r="U2">
        <f>ROUND((H2 - MIN($H$2:$H$11)) / (MAX($H$2:$H$11) - MIN($H$2:$H$11)),2)</f>
        <v>0.5</v>
      </c>
      <c r="V2">
        <f>ROUND((I2 - MIN($I$2:$I$11)) / (MAX($I$2:$I$11) - MIN($I$2:$I$11)),2)</f>
        <v>0.25</v>
      </c>
      <c r="W2">
        <f>ROUND((MAX($L$2:$L$11) - L2) / (MAX($L$2:$L$11) - MIN($L$2:$L$11)),2)</f>
        <v>0.65</v>
      </c>
      <c r="Y2">
        <f>AVERAGE(Q2:W2)</f>
        <v>0.59</v>
      </c>
      <c r="Z2">
        <f>ROUND((Q2*0.2 + R2*0.1 + S2*0.2 + T2*0.1 + U2*0.1 + V2*0.1 + W2*0.2),2)</f>
        <v>0.68</v>
      </c>
      <c r="AB2">
        <f>_xlfn.RANK.EQ(Y2, $Y$2:$Y$11, 0)</f>
        <v>3</v>
      </c>
      <c r="AC2">
        <f>_xlfn.RANK.EQ(Z2, $Z$2:$Z$11, 0)</f>
        <v>2</v>
      </c>
      <c r="AE2">
        <f>IF(AB2 = AC2, 1, 0)</f>
        <v>0</v>
      </c>
    </row>
    <row r="3" spans="1:31" x14ac:dyDescent="0.35">
      <c r="A3" t="s">
        <v>13</v>
      </c>
      <c r="B3">
        <v>1.5</v>
      </c>
      <c r="C3">
        <v>0.95</v>
      </c>
      <c r="D3">
        <v>0.9</v>
      </c>
      <c r="E3">
        <v>0.85</v>
      </c>
      <c r="F3" t="s">
        <v>14</v>
      </c>
      <c r="G3" t="s">
        <v>15</v>
      </c>
      <c r="H3">
        <v>1</v>
      </c>
      <c r="I3">
        <v>0.5</v>
      </c>
      <c r="J3" s="1">
        <v>45548</v>
      </c>
      <c r="K3" s="1">
        <f t="shared" ref="K3:K11" si="0">DATE(2024,7,1)</f>
        <v>45474</v>
      </c>
      <c r="L3">
        <f t="shared" ref="L3:L11" si="1">J3-K3</f>
        <v>74</v>
      </c>
      <c r="M3">
        <f t="shared" ref="M3:M11" si="2">ROUND(AVERAGEIF(C3:E3, "&gt;0.7"),2)</f>
        <v>0.9</v>
      </c>
      <c r="N3">
        <f t="shared" ref="N3:N11" si="3">LEN(F3)-LEN(SUBSTITUTE(F3,",",""))+1</f>
        <v>3</v>
      </c>
      <c r="O3">
        <f t="shared" ref="O3:O11" si="4">LEN(G3)-LEN(SUBSTITUTE(G3,",",""))+1</f>
        <v>3</v>
      </c>
      <c r="Q3">
        <f t="shared" ref="Q3:Q11" si="5">ROUND((B3 - MIN($B$2:$B$11)) / (MAX($B$2:$B$11) - MIN($B$2:$B$11)),2)</f>
        <v>0</v>
      </c>
      <c r="R3">
        <f t="shared" ref="R3:R11" si="6">ROUND((M3 - MIN($M$2:$M$11)) / (MAX($M$2:$M$11) - MIN($M$2:$M$11)),2)</f>
        <v>0.77</v>
      </c>
      <c r="S3">
        <f t="shared" ref="S3:S11" si="7">ROUND((N3 - MIN($N$2:$N$11)) / (MAX($N$2:$N$11) - MIN($N$2:$N$11)),2)</f>
        <v>0.5</v>
      </c>
      <c r="T3">
        <f t="shared" ref="T3:T11" si="8">ROUND((O3 - MIN($O$2:$O$11)) / (MAX($O$2:$O$11) - MIN($O$2:$O$11)),2)</f>
        <v>0.5</v>
      </c>
      <c r="U3">
        <f t="shared" ref="U3:U11" si="9">ROUND((H3 - MIN($H$2:$H$11)) / (MAX($H$2:$H$11) - MIN($H$2:$H$11)),2)</f>
        <v>0</v>
      </c>
      <c r="V3">
        <f t="shared" ref="V3:V11" si="10">ROUND((I3 - MIN($I$2:$I$11)) / (MAX($I$2:$I$11) - MIN($I$2:$I$11)),2)</f>
        <v>0.25</v>
      </c>
      <c r="W3">
        <f t="shared" ref="W3:W11" si="11">ROUND((MAX($L$2:$L$11) - L3) / (MAX($L$2:$L$11) - MIN($L$2:$L$11)),2)</f>
        <v>0</v>
      </c>
      <c r="Y3">
        <f>ROUND(AVERAGE(Q3:W3),2)</f>
        <v>0.28999999999999998</v>
      </c>
      <c r="Z3">
        <f t="shared" ref="Z3:Z11" si="12">ROUND((Q3*0.2 + R3*0.1 + S3*0.2 + T3*0.1 + U3*0.1 + V3*0.1 + W3*0.2),2)</f>
        <v>0.25</v>
      </c>
      <c r="AB3">
        <f t="shared" ref="AB3:AB11" si="13">_xlfn.RANK.EQ(Y3, $Y$2:$Y$11, 0)</f>
        <v>9</v>
      </c>
      <c r="AC3">
        <f t="shared" ref="AC3:AC11" si="14">_xlfn.RANK.EQ(Z3, $Z$2:$Z$11, 0)</f>
        <v>10</v>
      </c>
      <c r="AE3">
        <f t="shared" ref="AE3:AE11" si="15">IF(AB3 = AC3, 1, 0)</f>
        <v>0</v>
      </c>
    </row>
    <row r="4" spans="1:31" x14ac:dyDescent="0.35">
      <c r="A4" t="s">
        <v>16</v>
      </c>
      <c r="B4">
        <v>5</v>
      </c>
      <c r="C4">
        <v>1</v>
      </c>
      <c r="D4">
        <v>0.75</v>
      </c>
      <c r="E4">
        <v>0.9</v>
      </c>
      <c r="F4" t="s">
        <v>17</v>
      </c>
      <c r="G4" t="s">
        <v>18</v>
      </c>
      <c r="H4">
        <v>4</v>
      </c>
      <c r="I4">
        <v>2</v>
      </c>
      <c r="J4" s="1">
        <v>45532</v>
      </c>
      <c r="K4" s="1">
        <f t="shared" si="0"/>
        <v>45474</v>
      </c>
      <c r="L4">
        <f t="shared" si="1"/>
        <v>58</v>
      </c>
      <c r="M4">
        <f t="shared" si="2"/>
        <v>0.88</v>
      </c>
      <c r="N4">
        <f t="shared" si="3"/>
        <v>4</v>
      </c>
      <c r="O4">
        <f t="shared" si="4"/>
        <v>2</v>
      </c>
      <c r="Q4">
        <f t="shared" si="5"/>
        <v>0.57999999999999996</v>
      </c>
      <c r="R4">
        <f t="shared" si="6"/>
        <v>0.62</v>
      </c>
      <c r="S4">
        <f t="shared" si="7"/>
        <v>1</v>
      </c>
      <c r="T4">
        <f t="shared" si="8"/>
        <v>0</v>
      </c>
      <c r="U4">
        <f t="shared" si="9"/>
        <v>0.75</v>
      </c>
      <c r="V4">
        <f t="shared" si="10"/>
        <v>1</v>
      </c>
      <c r="W4">
        <f t="shared" si="11"/>
        <v>0.7</v>
      </c>
      <c r="Y4">
        <f t="shared" ref="Y4:Y11" si="16">ROUND(AVERAGE(Q4:W4),2)</f>
        <v>0.66</v>
      </c>
      <c r="Z4">
        <f t="shared" si="12"/>
        <v>0.69</v>
      </c>
      <c r="AB4">
        <f t="shared" si="13"/>
        <v>2</v>
      </c>
      <c r="AC4">
        <f t="shared" si="14"/>
        <v>1</v>
      </c>
      <c r="AE4">
        <f t="shared" si="15"/>
        <v>0</v>
      </c>
    </row>
    <row r="5" spans="1:31" x14ac:dyDescent="0.35">
      <c r="A5" t="s">
        <v>19</v>
      </c>
      <c r="B5">
        <v>4.5</v>
      </c>
      <c r="C5">
        <v>0.8</v>
      </c>
      <c r="D5">
        <v>0.9</v>
      </c>
      <c r="E5">
        <v>0.8</v>
      </c>
      <c r="F5" t="s">
        <v>20</v>
      </c>
      <c r="G5" t="s">
        <v>21</v>
      </c>
      <c r="H5">
        <v>1</v>
      </c>
      <c r="I5">
        <v>0</v>
      </c>
      <c r="J5" s="1">
        <v>45534</v>
      </c>
      <c r="K5" s="1">
        <f t="shared" si="0"/>
        <v>45474</v>
      </c>
      <c r="L5">
        <f t="shared" si="1"/>
        <v>60</v>
      </c>
      <c r="M5">
        <f t="shared" si="2"/>
        <v>0.83</v>
      </c>
      <c r="N5">
        <f t="shared" si="3"/>
        <v>2</v>
      </c>
      <c r="O5">
        <f t="shared" si="4"/>
        <v>4</v>
      </c>
      <c r="Q5">
        <f t="shared" si="5"/>
        <v>0.5</v>
      </c>
      <c r="R5">
        <f t="shared" si="6"/>
        <v>0.23</v>
      </c>
      <c r="S5">
        <f t="shared" si="7"/>
        <v>0</v>
      </c>
      <c r="T5">
        <f t="shared" si="8"/>
        <v>1</v>
      </c>
      <c r="U5">
        <f t="shared" si="9"/>
        <v>0</v>
      </c>
      <c r="V5">
        <f t="shared" si="10"/>
        <v>0</v>
      </c>
      <c r="W5">
        <f t="shared" si="11"/>
        <v>0.61</v>
      </c>
      <c r="Y5">
        <f t="shared" si="16"/>
        <v>0.33</v>
      </c>
      <c r="Z5">
        <f t="shared" si="12"/>
        <v>0.35</v>
      </c>
      <c r="AB5">
        <f t="shared" si="13"/>
        <v>8</v>
      </c>
      <c r="AC5">
        <f t="shared" si="14"/>
        <v>8</v>
      </c>
      <c r="AE5">
        <f t="shared" si="15"/>
        <v>1</v>
      </c>
    </row>
    <row r="6" spans="1:31" x14ac:dyDescent="0.35">
      <c r="A6" t="s">
        <v>22</v>
      </c>
      <c r="B6">
        <v>1.5</v>
      </c>
      <c r="C6">
        <v>0.85</v>
      </c>
      <c r="D6">
        <v>1</v>
      </c>
      <c r="E6">
        <v>0.95</v>
      </c>
      <c r="F6" t="s">
        <v>23</v>
      </c>
      <c r="G6" t="s">
        <v>24</v>
      </c>
      <c r="H6">
        <v>1</v>
      </c>
      <c r="I6">
        <v>1</v>
      </c>
      <c r="J6" s="1">
        <v>45530</v>
      </c>
      <c r="K6" s="1">
        <f t="shared" si="0"/>
        <v>45474</v>
      </c>
      <c r="L6">
        <f t="shared" si="1"/>
        <v>56</v>
      </c>
      <c r="M6">
        <f t="shared" si="2"/>
        <v>0.93</v>
      </c>
      <c r="N6">
        <f t="shared" si="3"/>
        <v>3</v>
      </c>
      <c r="O6">
        <f t="shared" si="4"/>
        <v>3</v>
      </c>
      <c r="Q6">
        <f t="shared" si="5"/>
        <v>0</v>
      </c>
      <c r="R6">
        <f t="shared" si="6"/>
        <v>1</v>
      </c>
      <c r="S6">
        <f t="shared" si="7"/>
        <v>0.5</v>
      </c>
      <c r="T6">
        <f t="shared" si="8"/>
        <v>0.5</v>
      </c>
      <c r="U6">
        <f t="shared" si="9"/>
        <v>0</v>
      </c>
      <c r="V6">
        <f t="shared" si="10"/>
        <v>0.5</v>
      </c>
      <c r="W6">
        <f t="shared" si="11"/>
        <v>0.78</v>
      </c>
      <c r="Y6">
        <f t="shared" si="16"/>
        <v>0.47</v>
      </c>
      <c r="Z6">
        <f t="shared" si="12"/>
        <v>0.46</v>
      </c>
      <c r="AB6">
        <f t="shared" si="13"/>
        <v>6</v>
      </c>
      <c r="AC6">
        <f t="shared" si="14"/>
        <v>6</v>
      </c>
      <c r="AE6">
        <f t="shared" si="15"/>
        <v>1</v>
      </c>
    </row>
    <row r="7" spans="1:31" x14ac:dyDescent="0.35">
      <c r="A7" t="s">
        <v>25</v>
      </c>
      <c r="B7">
        <v>4</v>
      </c>
      <c r="C7">
        <v>0.7</v>
      </c>
      <c r="D7">
        <v>0.75</v>
      </c>
      <c r="E7">
        <v>0.85</v>
      </c>
      <c r="F7" t="s">
        <v>26</v>
      </c>
      <c r="G7" t="s">
        <v>27</v>
      </c>
      <c r="H7">
        <v>1</v>
      </c>
      <c r="I7">
        <v>0</v>
      </c>
      <c r="J7" s="1">
        <v>45530</v>
      </c>
      <c r="K7" s="1">
        <f t="shared" si="0"/>
        <v>45474</v>
      </c>
      <c r="L7">
        <f t="shared" si="1"/>
        <v>56</v>
      </c>
      <c r="M7">
        <f t="shared" si="2"/>
        <v>0.8</v>
      </c>
      <c r="N7">
        <f t="shared" si="3"/>
        <v>3</v>
      </c>
      <c r="O7">
        <f t="shared" si="4"/>
        <v>2</v>
      </c>
      <c r="Q7">
        <f t="shared" si="5"/>
        <v>0.42</v>
      </c>
      <c r="R7">
        <f t="shared" si="6"/>
        <v>0</v>
      </c>
      <c r="S7">
        <f t="shared" si="7"/>
        <v>0.5</v>
      </c>
      <c r="T7">
        <f t="shared" si="8"/>
        <v>0</v>
      </c>
      <c r="U7">
        <f t="shared" si="9"/>
        <v>0</v>
      </c>
      <c r="V7">
        <f t="shared" si="10"/>
        <v>0</v>
      </c>
      <c r="W7">
        <f t="shared" si="11"/>
        <v>0.78</v>
      </c>
      <c r="Y7">
        <f t="shared" si="16"/>
        <v>0.24</v>
      </c>
      <c r="Z7">
        <f t="shared" si="12"/>
        <v>0.34</v>
      </c>
      <c r="AB7">
        <f t="shared" si="13"/>
        <v>10</v>
      </c>
      <c r="AC7">
        <f t="shared" si="14"/>
        <v>9</v>
      </c>
      <c r="AE7">
        <f t="shared" si="15"/>
        <v>0</v>
      </c>
    </row>
    <row r="8" spans="1:31" x14ac:dyDescent="0.35">
      <c r="A8" t="s">
        <v>28</v>
      </c>
      <c r="B8">
        <v>4.5</v>
      </c>
      <c r="C8">
        <v>0.7</v>
      </c>
      <c r="D8">
        <v>0.95</v>
      </c>
      <c r="E8">
        <v>0.75</v>
      </c>
      <c r="F8" t="s">
        <v>29</v>
      </c>
      <c r="G8" t="s">
        <v>30</v>
      </c>
      <c r="H8">
        <v>2</v>
      </c>
      <c r="I8">
        <v>1</v>
      </c>
      <c r="J8" s="1">
        <v>45525</v>
      </c>
      <c r="K8" s="1">
        <f t="shared" si="0"/>
        <v>45474</v>
      </c>
      <c r="L8">
        <f t="shared" si="1"/>
        <v>51</v>
      </c>
      <c r="M8">
        <f t="shared" si="2"/>
        <v>0.85</v>
      </c>
      <c r="N8">
        <f t="shared" si="3"/>
        <v>4</v>
      </c>
      <c r="O8">
        <f t="shared" si="4"/>
        <v>3</v>
      </c>
      <c r="Q8">
        <f t="shared" si="5"/>
        <v>0.5</v>
      </c>
      <c r="R8">
        <f t="shared" si="6"/>
        <v>0.38</v>
      </c>
      <c r="S8">
        <f t="shared" si="7"/>
        <v>1</v>
      </c>
      <c r="T8">
        <f t="shared" si="8"/>
        <v>0.5</v>
      </c>
      <c r="U8">
        <f t="shared" si="9"/>
        <v>0.25</v>
      </c>
      <c r="V8">
        <f t="shared" si="10"/>
        <v>0.5</v>
      </c>
      <c r="W8">
        <f t="shared" si="11"/>
        <v>1</v>
      </c>
      <c r="Y8">
        <f t="shared" si="16"/>
        <v>0.59</v>
      </c>
      <c r="Z8">
        <f t="shared" si="12"/>
        <v>0.66</v>
      </c>
      <c r="AB8">
        <f t="shared" si="13"/>
        <v>3</v>
      </c>
      <c r="AC8">
        <f t="shared" si="14"/>
        <v>3</v>
      </c>
      <c r="AE8">
        <f t="shared" si="15"/>
        <v>1</v>
      </c>
    </row>
    <row r="9" spans="1:31" x14ac:dyDescent="0.35">
      <c r="A9" t="s">
        <v>31</v>
      </c>
      <c r="B9">
        <v>6.5</v>
      </c>
      <c r="C9">
        <v>0.7</v>
      </c>
      <c r="D9">
        <v>0.75</v>
      </c>
      <c r="E9">
        <v>1</v>
      </c>
      <c r="F9" t="s">
        <v>32</v>
      </c>
      <c r="G9" t="s">
        <v>33</v>
      </c>
      <c r="H9">
        <v>5</v>
      </c>
      <c r="I9">
        <v>2</v>
      </c>
      <c r="J9" s="1">
        <v>45548</v>
      </c>
      <c r="K9" s="1">
        <f t="shared" si="0"/>
        <v>45474</v>
      </c>
      <c r="L9">
        <f t="shared" si="1"/>
        <v>74</v>
      </c>
      <c r="M9">
        <f t="shared" si="2"/>
        <v>0.88</v>
      </c>
      <c r="N9">
        <f t="shared" si="3"/>
        <v>3</v>
      </c>
      <c r="O9">
        <f t="shared" si="4"/>
        <v>4</v>
      </c>
      <c r="Q9">
        <f t="shared" si="5"/>
        <v>0.83</v>
      </c>
      <c r="R9">
        <f t="shared" si="6"/>
        <v>0.62</v>
      </c>
      <c r="S9">
        <f t="shared" si="7"/>
        <v>0.5</v>
      </c>
      <c r="T9">
        <f t="shared" si="8"/>
        <v>1</v>
      </c>
      <c r="U9">
        <f t="shared" si="9"/>
        <v>1</v>
      </c>
      <c r="V9">
        <f t="shared" si="10"/>
        <v>1</v>
      </c>
      <c r="W9">
        <f t="shared" si="11"/>
        <v>0</v>
      </c>
      <c r="Y9">
        <f t="shared" si="16"/>
        <v>0.71</v>
      </c>
      <c r="Z9">
        <f t="shared" si="12"/>
        <v>0.63</v>
      </c>
      <c r="AB9">
        <f t="shared" si="13"/>
        <v>1</v>
      </c>
      <c r="AC9">
        <f t="shared" si="14"/>
        <v>4</v>
      </c>
      <c r="AE9">
        <f t="shared" si="15"/>
        <v>0</v>
      </c>
    </row>
    <row r="10" spans="1:31" x14ac:dyDescent="0.35">
      <c r="A10" t="s">
        <v>34</v>
      </c>
      <c r="B10">
        <v>3</v>
      </c>
      <c r="C10">
        <v>0.7</v>
      </c>
      <c r="D10">
        <v>0.8</v>
      </c>
      <c r="E10">
        <v>0.8</v>
      </c>
      <c r="F10" t="s">
        <v>35</v>
      </c>
      <c r="G10" t="s">
        <v>36</v>
      </c>
      <c r="H10">
        <v>3</v>
      </c>
      <c r="I10">
        <v>0</v>
      </c>
      <c r="J10" s="1">
        <v>45530</v>
      </c>
      <c r="K10" s="1">
        <f t="shared" si="0"/>
        <v>45474</v>
      </c>
      <c r="L10">
        <f t="shared" si="1"/>
        <v>56</v>
      </c>
      <c r="M10">
        <f t="shared" si="2"/>
        <v>0.8</v>
      </c>
      <c r="N10">
        <f t="shared" si="3"/>
        <v>4</v>
      </c>
      <c r="O10">
        <f t="shared" si="4"/>
        <v>2</v>
      </c>
      <c r="Q10">
        <f t="shared" si="5"/>
        <v>0.25</v>
      </c>
      <c r="R10">
        <f t="shared" si="6"/>
        <v>0</v>
      </c>
      <c r="S10">
        <f t="shared" si="7"/>
        <v>1</v>
      </c>
      <c r="T10">
        <f t="shared" si="8"/>
        <v>0</v>
      </c>
      <c r="U10">
        <f t="shared" si="9"/>
        <v>0.5</v>
      </c>
      <c r="V10">
        <f t="shared" si="10"/>
        <v>0</v>
      </c>
      <c r="W10">
        <f t="shared" si="11"/>
        <v>0.78</v>
      </c>
      <c r="Y10">
        <f t="shared" si="16"/>
        <v>0.36</v>
      </c>
      <c r="Z10">
        <f t="shared" si="12"/>
        <v>0.46</v>
      </c>
      <c r="AB10">
        <f t="shared" si="13"/>
        <v>7</v>
      </c>
      <c r="AC10">
        <f t="shared" si="14"/>
        <v>6</v>
      </c>
      <c r="AE10">
        <f t="shared" si="15"/>
        <v>0</v>
      </c>
    </row>
    <row r="11" spans="1:31" x14ac:dyDescent="0.35">
      <c r="A11" t="s">
        <v>37</v>
      </c>
      <c r="B11">
        <v>3</v>
      </c>
      <c r="C11">
        <v>0.75</v>
      </c>
      <c r="D11">
        <v>0.95</v>
      </c>
      <c r="E11">
        <v>0.9</v>
      </c>
      <c r="F11" t="s">
        <v>38</v>
      </c>
      <c r="G11" t="s">
        <v>39</v>
      </c>
      <c r="H11">
        <v>3</v>
      </c>
      <c r="I11">
        <v>1.5</v>
      </c>
      <c r="J11" s="1">
        <v>45532</v>
      </c>
      <c r="K11" s="1">
        <f t="shared" si="0"/>
        <v>45474</v>
      </c>
      <c r="L11">
        <f t="shared" si="1"/>
        <v>58</v>
      </c>
      <c r="M11">
        <f t="shared" si="2"/>
        <v>0.87</v>
      </c>
      <c r="N11">
        <f t="shared" si="3"/>
        <v>4</v>
      </c>
      <c r="O11">
        <f t="shared" si="4"/>
        <v>2</v>
      </c>
      <c r="Q11">
        <f t="shared" si="5"/>
        <v>0.25</v>
      </c>
      <c r="R11">
        <f t="shared" si="6"/>
        <v>0.54</v>
      </c>
      <c r="S11">
        <f t="shared" si="7"/>
        <v>1</v>
      </c>
      <c r="T11">
        <f t="shared" si="8"/>
        <v>0</v>
      </c>
      <c r="U11">
        <f t="shared" si="9"/>
        <v>0.5</v>
      </c>
      <c r="V11">
        <f t="shared" si="10"/>
        <v>0.75</v>
      </c>
      <c r="W11">
        <f t="shared" si="11"/>
        <v>0.7</v>
      </c>
      <c r="Y11">
        <f t="shared" si="16"/>
        <v>0.53</v>
      </c>
      <c r="Z11">
        <f t="shared" si="12"/>
        <v>0.56999999999999995</v>
      </c>
      <c r="AB11">
        <f t="shared" si="13"/>
        <v>5</v>
      </c>
      <c r="AC11">
        <f t="shared" si="14"/>
        <v>5</v>
      </c>
      <c r="AE11">
        <f t="shared" si="15"/>
        <v>1</v>
      </c>
    </row>
    <row r="12" spans="1:31" x14ac:dyDescent="0.35">
      <c r="AE12">
        <f>SUM(AE2:AE11)</f>
        <v>4</v>
      </c>
    </row>
  </sheetData>
  <autoFilter ref="A1:O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24f3004421@ds.study.iitm.ac.in</cp:lastModifiedBy>
  <dcterms:created xsi:type="dcterms:W3CDTF">2025-03-11T06:41:48Z</dcterms:created>
  <dcterms:modified xsi:type="dcterms:W3CDTF">2025-11-28T12:44:47Z</dcterms:modified>
</cp:coreProperties>
</file>